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55" activeTab="1"/>
  </bookViews>
  <sheets>
    <sheet name="移速" sheetId="1" r:id="rId1"/>
    <sheet name="攻速" sheetId="3" r:id="rId2"/>
    <sheet name="WpsReserved_CellImgList" sheetId="2" state="very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1CD860229186435C8AA99115BB0589DF" descr="upload_post_object_v2_1335850271"/>
        <xdr:cNvPicPr/>
      </xdr:nvPicPr>
      <xdr:blipFill>
        <a:blip r:embed="rId1"/>
        <a:stretch>
          <a:fillRect/>
        </a:stretch>
      </xdr:blipFill>
      <xdr:spPr>
        <a:xfrm>
          <a:off x="0" y="0"/>
          <a:ext cx="6038850" cy="466725"/>
        </a:xfrm>
        <a:prstGeom prst="rect">
          <a:avLst/>
        </a:prstGeom>
      </xdr:spPr>
    </xdr:pic>
  </etc:cellImage>
  <etc:cellImage>
    <xdr:pic>
      <xdr:nvPicPr>
        <xdr:cNvPr id="3" name="ID_1A9C3641B28F4F3CB70406C5FF0D00FE" descr="upload_post_object_v2_433761079"/>
        <xdr:cNvPicPr/>
      </xdr:nvPicPr>
      <xdr:blipFill>
        <a:blip r:embed="rId2"/>
        <a:stretch>
          <a:fillRect/>
        </a:stretch>
      </xdr:blipFill>
      <xdr:spPr>
        <a:xfrm>
          <a:off x="0" y="0"/>
          <a:ext cx="4105275" cy="71437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<sst xmlns="http://schemas.openxmlformats.org/spreadsheetml/2006/main" count="56" uniqueCount="37">
  <si>
    <t>衰减度</t>
  </si>
  <si>
    <t>衰减值</t>
  </si>
  <si>
    <t>衰减值修改排期</t>
  </si>
  <si>
    <t>原始移速公式</t>
  </si>
  <si>
    <t>修改移速公式</t>
  </si>
  <si>
    <t>k值</t>
  </si>
  <si>
    <t>最终移动速度=基础移动速度+基础移动速度×ln(1+移速加成比例)</t>
  </si>
  <si>
    <t>基础移速</t>
  </si>
  <si>
    <t>移速增加%</t>
  </si>
  <si>
    <t>原始最终移速</t>
  </si>
  <si>
    <t>差值</t>
  </si>
  <si>
    <t>移速效果</t>
  </si>
  <si>
    <t>属性面板逆公式</t>
  </si>
  <si>
    <t>这里的“移速加成比例”是以1为单位的数值，即100%加成对应于1.0。</t>
  </si>
  <si>
    <t>然而，为了更直观地控制加成的递减程度，我们也可以使用一个带有可调节参数的函数。这里提供一个示例公式：</t>
  </si>
  <si>
    <t>逆公式</t>
  </si>
  <si>
    <t>在新移速公式尾部 加上 除/ 移速加成%/（1+k*移速加成%）*移速加成%</t>
  </si>
  <si>
    <r>
      <rPr>
        <sz val="12"/>
        <color rgb="FF2C2C36"/>
        <rFont val="宋体"/>
        <charset val="134"/>
      </rPr>
      <t xml:space="preserve">其中 </t>
    </r>
    <r>
      <rPr>
        <sz val="14.5"/>
        <color rgb="FF2C2C36"/>
        <rFont val="宋体"/>
        <charset val="134"/>
      </rPr>
      <t>k</t>
    </r>
    <r>
      <rPr>
        <i/>
        <sz val="14.5"/>
        <color rgb="FF2C2C36"/>
        <rFont val="KaTeX_Math"/>
        <charset val="134"/>
      </rPr>
      <t>k</t>
    </r>
    <r>
      <rPr>
        <sz val="12"/>
        <color rgb="FF2C2C36"/>
        <rFont val="宋体"/>
        <charset val="134"/>
      </rPr>
      <t xml:space="preserve"> 是一个正实数，用于控制曲线的陡峭程度。</t>
    </r>
    <r>
      <rPr>
        <i/>
        <sz val="14.5"/>
        <color rgb="FF2C2C36"/>
        <rFont val="KaTeX_Math"/>
        <charset val="134"/>
      </rPr>
      <t>k</t>
    </r>
    <r>
      <rPr>
        <sz val="12"/>
        <color rgb="FF2C2C36"/>
        <rFont val="宋体"/>
        <charset val="134"/>
      </rPr>
      <t xml:space="preserve"> 的值越大，加成效果随加成比例的增加而下降得越快。</t>
    </r>
  </si>
  <si>
    <t>让我们详细说明一下这个公式的实现过程：</t>
  </si>
  <si>
    <r>
      <rPr>
        <sz val="12"/>
        <color rgb="FF2C2C36"/>
        <rFont val="宋体"/>
        <charset val="134"/>
        <scheme val="minor"/>
      </rPr>
      <t>确定基础移动速度</t>
    </r>
    <r>
      <rPr>
        <sz val="12"/>
        <color rgb="FF2C2C36"/>
        <rFont val="宋体"/>
        <charset val="134"/>
        <scheme val="minor"/>
      </rPr>
      <t>：设为100。</t>
    </r>
  </si>
  <si>
    <r>
      <rPr>
        <sz val="12"/>
        <color rgb="FF2C2C36"/>
        <rFont val="宋体"/>
        <charset val="134"/>
        <scheme val="minor"/>
      </rPr>
      <t>设定移速加成比例</t>
    </r>
    <r>
      <rPr>
        <sz val="12"/>
        <color rgb="FF2C2C36"/>
        <rFont val="宋体"/>
        <charset val="134"/>
        <scheme val="minor"/>
      </rPr>
      <t>：假设为0.5 (即50%)。</t>
    </r>
  </si>
  <si>
    <r>
      <rPr>
        <sz val="12"/>
        <color rgb="FF2C2C36"/>
        <rFont val="宋体"/>
        <charset val="134"/>
        <scheme val="minor"/>
      </rPr>
      <t>选择k值</t>
    </r>
    <r>
      <rPr>
        <sz val="12"/>
        <color rgb="FF2C2C36"/>
        <rFont val="宋体"/>
        <charset val="134"/>
        <scheme val="minor"/>
      </rPr>
      <t>：根据需要调整的递减程度来确定，比如0.1。</t>
    </r>
  </si>
  <si>
    <r>
      <rPr>
        <sz val="12"/>
        <color rgb="FF2C2C36"/>
        <rFont val="宋体"/>
        <charset val="134"/>
        <scheme val="minor"/>
      </rPr>
      <t>计算最终移动速度</t>
    </r>
    <r>
      <rPr>
        <sz val="12"/>
        <color rgb="FF2C2C36"/>
        <rFont val="宋体"/>
        <charset val="134"/>
        <scheme val="minor"/>
      </rPr>
      <t>：</t>
    </r>
  </si>
  <si>
    <r>
      <rPr>
        <sz val="12"/>
        <color rgb="FF2C2C36"/>
        <rFont val="宋体"/>
        <charset val="134"/>
        <scheme val="minor"/>
      </rPr>
      <t xml:space="preserve">如果希望进一步调整，可以通过改变 </t>
    </r>
    <r>
      <rPr>
        <sz val="14.5"/>
        <color rgb="FF2C2C36"/>
        <rFont val="宋体"/>
        <charset val="134"/>
        <scheme val="minor"/>
      </rPr>
      <t>k</t>
    </r>
    <r>
      <rPr>
        <i/>
        <sz val="14.5"/>
        <color rgb="FF2C2C36"/>
        <rFont val="KaTeX_Math"/>
        <charset val="134"/>
      </rPr>
      <t>k</t>
    </r>
    <r>
      <rPr>
        <sz val="12"/>
        <color rgb="FF2C2C36"/>
        <rFont val="宋体"/>
        <charset val="134"/>
        <scheme val="minor"/>
      </rPr>
      <t xml:space="preserve"> 的值来微调递减的程度。比如，如果希望加成效果在较高加成比例时更加平缓，可以增大 </t>
    </r>
    <r>
      <rPr>
        <sz val="14.5"/>
        <color rgb="FF2C2C36"/>
        <rFont val="宋体"/>
        <charset val="134"/>
        <scheme val="minor"/>
      </rPr>
      <t>k</t>
    </r>
    <r>
      <rPr>
        <i/>
        <sz val="14.5"/>
        <color rgb="FF2C2C36"/>
        <rFont val="KaTeX_Math"/>
        <charset val="134"/>
      </rPr>
      <t>k</t>
    </r>
    <r>
      <rPr>
        <sz val="12"/>
        <color rgb="FF2C2C36"/>
        <rFont val="宋体"/>
        <charset val="134"/>
        <scheme val="minor"/>
      </rPr>
      <t xml:space="preserve"> 的值；反之，如果希望加成效果在较低加成比例时就变得平缓，则可以减小 </t>
    </r>
    <r>
      <rPr>
        <sz val="14.5"/>
        <color rgb="FF2C2C36"/>
        <rFont val="宋体"/>
        <charset val="134"/>
        <scheme val="minor"/>
      </rPr>
      <t>k</t>
    </r>
    <r>
      <rPr>
        <i/>
        <sz val="14.5"/>
        <color rgb="FF2C2C36"/>
        <rFont val="KaTeX_Math"/>
        <charset val="134"/>
      </rPr>
      <t>k</t>
    </r>
    <r>
      <rPr>
        <sz val="12"/>
        <color rgb="FF2C2C36"/>
        <rFont val="宋体"/>
        <charset val="134"/>
        <scheme val="minor"/>
      </rPr>
      <t xml:space="preserve"> 的值。</t>
    </r>
  </si>
  <si>
    <r>
      <rPr>
        <sz val="12"/>
        <color rgb="FF2C2C36"/>
        <rFont val="宋体"/>
        <charset val="134"/>
        <scheme val="minor"/>
      </rPr>
      <t xml:space="preserve">这个公式在早期加成和原始公式区别不大，而在后期加成越高时增加的移动速度越少。您可以尝试不同的 </t>
    </r>
    <r>
      <rPr>
        <sz val="14.5"/>
        <color rgb="FF2C2C36"/>
        <rFont val="宋体"/>
        <charset val="134"/>
        <scheme val="minor"/>
      </rPr>
      <t>k</t>
    </r>
    <r>
      <rPr>
        <i/>
        <sz val="14.5"/>
        <color rgb="FF2C2C36"/>
        <rFont val="KaTeX_Math"/>
        <charset val="134"/>
      </rPr>
      <t>k</t>
    </r>
    <r>
      <rPr>
        <sz val="12"/>
        <color rgb="FF2C2C36"/>
        <rFont val="宋体"/>
        <charset val="134"/>
        <scheme val="minor"/>
      </rPr>
      <t xml:space="preserve"> 值来找到最适合您游戏需求的平衡点。</t>
    </r>
  </si>
  <si>
    <t>效果衰减公式：移速%/(1+衰减值*移速%)</t>
  </si>
  <si>
    <t>原始攻速公式</t>
  </si>
  <si>
    <t>修改攻速公式</t>
  </si>
  <si>
    <t>面板逆衰减公式：( 移速%/(1+衰减值* 移速%))/( 移速%/(1+衰减值* 移速%))* 移速%</t>
  </si>
  <si>
    <t>基础攻速</t>
  </si>
  <si>
    <t>攻速增加%</t>
  </si>
  <si>
    <t>原始最终攻速</t>
  </si>
  <si>
    <t>修改最终攻速</t>
  </si>
  <si>
    <t>最终移动速度=基础移动速度+基础移动速度×ln(1+攻速加成比例)</t>
  </si>
  <si>
    <t>这里的“攻速加成比例”是以1为单位的数值，即100%加成对应于1.0。</t>
  </si>
  <si>
    <t>在新攻速公式尾部 加上 除/ 攻速加成%/（1+k*攻速加成%）*攻速加成%</t>
  </si>
  <si>
    <t>设定攻速加成比例：假设为0.5 (即50%)。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</si>
</sst>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4.5"/>
      <color rgb="FF2C2C36"/>
      <name val="宋体"/>
      <charset val="134"/>
      <scheme val="minor"/>
    </font>
    <font>
      <sz val="12"/>
      <color rgb="FF2C2C36"/>
      <name val="宋体"/>
      <charset val="134"/>
      <scheme val="minor"/>
    </font>
    <font>
      <sz val="12"/>
      <color rgb="FF2C2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4.5"/>
      <color rgb="FF2C2C36"/>
      <name val="KaTeX_Math"/>
      <charset val="134"/>
    </font>
    <font>
      <sz val="14.5"/>
      <color rgb="FF2C2C36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2" borderId="1" xfId="0" applyFill="1" applyBorder="1">
      <alignment vertical="center"/>
    </xf>
    <xf numFmtId="10" fontId="0" fillId="2" borderId="1" xfId="0" applyNumberFormat="1" applyFill="1" applyBorder="1">
      <alignment vertical="center"/>
    </xf>
    <xf numFmtId="0" fontId="0" fillId="3" borderId="1" xfId="0" applyFill="1" applyBorder="1">
      <alignment vertical="center"/>
    </xf>
    <xf numFmtId="10" fontId="0" fillId="3" borderId="1" xfId="0" applyNumberForma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1" fillId="0" borderId="0" xfId="0" applyFont="1">
      <alignment vertical="center"/>
    </xf>
    <xf numFmtId="0" fontId="1" fillId="0" borderId="2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3" borderId="1" xfId="0" applyNumberFormat="1" applyFill="1" applyBorder="1" applyAlignment="1">
      <alignment horizontal="center" vertical="center"/>
    </xf>
    <xf numFmtId="0" fontId="0" fillId="4" borderId="0" xfId="0" applyFill="1">
      <alignment vertical="center"/>
    </xf>
    <xf numFmtId="31" fontId="1" fillId="0" borderId="2" xfId="0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9" fontId="0" fillId="2" borderId="1" xfId="0" applyNumberFormat="1" applyFill="1" applyBorder="1">
      <alignment vertical="center"/>
    </xf>
    <xf numFmtId="9" fontId="0" fillId="3" borderId="1" xfId="0" applyNumberFormat="1" applyFill="1" applyBorder="1">
      <alignment vertical="center"/>
    </xf>
    <xf numFmtId="10" fontId="0" fillId="0" borderId="0" xfId="0" applyNumberFormat="1">
      <alignment vertical="center"/>
    </xf>
    <xf numFmtId="0" fontId="3" fillId="0" borderId="0" xfId="0" applyFont="1">
      <alignment vertical="center"/>
    </xf>
    <xf numFmtId="0" fontId="1" fillId="4" borderId="0" xfId="0" applyFont="1" applyFill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9" fontId="0" fillId="4" borderId="1" xfId="0" applyNumberFormat="1" applyFill="1" applyBorder="1">
      <alignment vertical="center"/>
    </xf>
    <xf numFmtId="10" fontId="0" fillId="4" borderId="0" xfId="0" applyNumberFormat="1" applyFill="1">
      <alignment vertical="center"/>
    </xf>
    <xf numFmtId="10" fontId="1" fillId="3" borderId="1" xfId="0" applyNumberFormat="1" applyFont="1" applyFill="1" applyBorder="1">
      <alignment vertical="center"/>
    </xf>
    <xf numFmtId="31" fontId="1" fillId="4" borderId="2" xfId="0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移速效果成长曲线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移速!$C$3</c:f>
              <c:strCache>
                <c:ptCount val="1"/>
                <c:pt idx="0">
                  <c:v>原始最终移速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移速!$C$4:$C$33</c:f>
              <c:numCache>
                <c:formatCode>0.00%</c:formatCode>
                <c:ptCount val="30"/>
                <c:pt idx="0">
                  <c:v>0.055</c:v>
                </c:pt>
                <c:pt idx="1">
                  <c:v>0.0575</c:v>
                </c:pt>
                <c:pt idx="2">
                  <c:v>0.06</c:v>
                </c:pt>
                <c:pt idx="3">
                  <c:v>0.0625</c:v>
                </c:pt>
                <c:pt idx="4">
                  <c:v>0.065</c:v>
                </c:pt>
                <c:pt idx="5">
                  <c:v>0.0675</c:v>
                </c:pt>
                <c:pt idx="6">
                  <c:v>0.07</c:v>
                </c:pt>
                <c:pt idx="7">
                  <c:v>0.0725</c:v>
                </c:pt>
                <c:pt idx="8">
                  <c:v>0.075</c:v>
                </c:pt>
                <c:pt idx="9">
                  <c:v>0.0775</c:v>
                </c:pt>
                <c:pt idx="10">
                  <c:v>0.08</c:v>
                </c:pt>
                <c:pt idx="11">
                  <c:v>0.0825</c:v>
                </c:pt>
                <c:pt idx="12">
                  <c:v>0.085</c:v>
                </c:pt>
                <c:pt idx="13">
                  <c:v>0.0875</c:v>
                </c:pt>
                <c:pt idx="14">
                  <c:v>0.09</c:v>
                </c:pt>
                <c:pt idx="15">
                  <c:v>0.0925</c:v>
                </c:pt>
                <c:pt idx="16">
                  <c:v>0.095</c:v>
                </c:pt>
                <c:pt idx="17">
                  <c:v>0.0975</c:v>
                </c:pt>
                <c:pt idx="18">
                  <c:v>0.1</c:v>
                </c:pt>
                <c:pt idx="19">
                  <c:v>0.1025</c:v>
                </c:pt>
                <c:pt idx="20">
                  <c:v>0.105</c:v>
                </c:pt>
                <c:pt idx="21">
                  <c:v>0.1075</c:v>
                </c:pt>
                <c:pt idx="22">
                  <c:v>0.11</c:v>
                </c:pt>
                <c:pt idx="23">
                  <c:v>0.1125</c:v>
                </c:pt>
                <c:pt idx="24">
                  <c:v>0.115</c:v>
                </c:pt>
                <c:pt idx="25">
                  <c:v>0.1175</c:v>
                </c:pt>
                <c:pt idx="26">
                  <c:v>0.12</c:v>
                </c:pt>
                <c:pt idx="27">
                  <c:v>0.1225</c:v>
                </c:pt>
                <c:pt idx="28">
                  <c:v>0.125</c:v>
                </c:pt>
                <c:pt idx="29">
                  <c:v>0.1275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移速!$G$3</c:f>
              <c:strCache>
                <c:ptCount val="1"/>
                <c:pt idx="0">
                  <c:v>移速效果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移速!$G$4:$G$33</c:f>
              <c:numCache>
                <c:formatCode>0.00%</c:formatCode>
                <c:ptCount val="30"/>
                <c:pt idx="0">
                  <c:v>0.0545454545454545</c:v>
                </c:pt>
                <c:pt idx="1">
                  <c:v>0.0565217391304348</c:v>
                </c:pt>
                <c:pt idx="2">
                  <c:v>0.0583333333333333</c:v>
                </c:pt>
                <c:pt idx="3">
                  <c:v>0.06</c:v>
                </c:pt>
                <c:pt idx="4">
                  <c:v>0.0615384615384615</c:v>
                </c:pt>
                <c:pt idx="5">
                  <c:v>0.062962962962963</c:v>
                </c:pt>
                <c:pt idx="6">
                  <c:v>0.0642857142857143</c:v>
                </c:pt>
                <c:pt idx="7">
                  <c:v>0.0655172413793104</c:v>
                </c:pt>
                <c:pt idx="8">
                  <c:v>0.0666666666666667</c:v>
                </c:pt>
                <c:pt idx="9">
                  <c:v>0.067741935483871</c:v>
                </c:pt>
                <c:pt idx="10">
                  <c:v>0.06875</c:v>
                </c:pt>
                <c:pt idx="11">
                  <c:v>0.0696969696969697</c:v>
                </c:pt>
                <c:pt idx="12">
                  <c:v>0.0705882352941176</c:v>
                </c:pt>
                <c:pt idx="13">
                  <c:v>0.0714285714285714</c:v>
                </c:pt>
                <c:pt idx="14">
                  <c:v>0.0722222222222222</c:v>
                </c:pt>
                <c:pt idx="15">
                  <c:v>0.072972972972973</c:v>
                </c:pt>
                <c:pt idx="16">
                  <c:v>0.0736842105263158</c:v>
                </c:pt>
                <c:pt idx="17">
                  <c:v>0.0743589743589744</c:v>
                </c:pt>
                <c:pt idx="18">
                  <c:v>0.075</c:v>
                </c:pt>
                <c:pt idx="19">
                  <c:v>0.075609756097561</c:v>
                </c:pt>
                <c:pt idx="20">
                  <c:v>0.0761904761904762</c:v>
                </c:pt>
                <c:pt idx="21">
                  <c:v>0.0767441860465116</c:v>
                </c:pt>
                <c:pt idx="22">
                  <c:v>0.0772727272727273</c:v>
                </c:pt>
                <c:pt idx="23">
                  <c:v>0.0777777777777778</c:v>
                </c:pt>
                <c:pt idx="24">
                  <c:v>0.0782608695652174</c:v>
                </c:pt>
                <c:pt idx="25">
                  <c:v>0.0787234042553192</c:v>
                </c:pt>
                <c:pt idx="26">
                  <c:v>0.0791666666666667</c:v>
                </c:pt>
                <c:pt idx="27">
                  <c:v>0.0795918367346939</c:v>
                </c:pt>
                <c:pt idx="28">
                  <c:v>0.08</c:v>
                </c:pt>
                <c:pt idx="29">
                  <c:v>0.0803921568627451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6522722"/>
        <c:axId val="800982485"/>
      </c:lineChart>
      <c:catAx>
        <c:axId val="50652272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0982485"/>
        <c:crosses val="autoZero"/>
        <c:auto val="1"/>
        <c:lblAlgn val="ctr"/>
        <c:lblOffset val="100"/>
        <c:noMultiLvlLbl val="0"/>
      </c:catAx>
      <c:valAx>
        <c:axId val="80098248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652272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e4619ba-dc7a-43f6-8347-b7302e9d649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效果成长曲线</a:t>
            </a:r>
            <a:endParaRPr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攻速!$C$3</c:f>
              <c:strCache>
                <c:ptCount val="1"/>
                <c:pt idx="0">
                  <c:v>原始最终攻速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攻速!$C$4:$C$33</c:f>
              <c:numCache>
                <c:formatCode>0.00%</c:formatCode>
                <c:ptCount val="30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0.26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0.55</c:v>
                </c:pt>
                <c:pt idx="10">
                  <c:v>0.6</c:v>
                </c:pt>
                <c:pt idx="11">
                  <c:v>0.65</c:v>
                </c:pt>
                <c:pt idx="12">
                  <c:v>0.7</c:v>
                </c:pt>
                <c:pt idx="13">
                  <c:v>0.75</c:v>
                </c:pt>
                <c:pt idx="14">
                  <c:v>0.8</c:v>
                </c:pt>
                <c:pt idx="15">
                  <c:v>0.85</c:v>
                </c:pt>
                <c:pt idx="16">
                  <c:v>0.9</c:v>
                </c:pt>
                <c:pt idx="17">
                  <c:v>0.95</c:v>
                </c:pt>
                <c:pt idx="18">
                  <c:v>1</c:v>
                </c:pt>
                <c:pt idx="19">
                  <c:v>1.05</c:v>
                </c:pt>
                <c:pt idx="20">
                  <c:v>1.1</c:v>
                </c:pt>
                <c:pt idx="21">
                  <c:v>1.15</c:v>
                </c:pt>
                <c:pt idx="22">
                  <c:v>1.2</c:v>
                </c:pt>
                <c:pt idx="23">
                  <c:v>1.25</c:v>
                </c:pt>
                <c:pt idx="24">
                  <c:v>1.3</c:v>
                </c:pt>
                <c:pt idx="25">
                  <c:v>1.35</c:v>
                </c:pt>
                <c:pt idx="26">
                  <c:v>1.4</c:v>
                </c:pt>
                <c:pt idx="27">
                  <c:v>1.45</c:v>
                </c:pt>
                <c:pt idx="28">
                  <c:v>1.5</c:v>
                </c:pt>
                <c:pt idx="29">
                  <c:v>1.55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攻速!$G$3</c:f>
              <c:strCache>
                <c:ptCount val="1"/>
                <c:pt idx="0">
                  <c:v>修改最终攻速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攻速!$G$4:$G$33</c:f>
              <c:numCache>
                <c:formatCode>0.00%</c:formatCode>
                <c:ptCount val="30"/>
                <c:pt idx="0">
                  <c:v>0.0909090909090909</c:v>
                </c:pt>
                <c:pt idx="1">
                  <c:v>0.130434782608696</c:v>
                </c:pt>
                <c:pt idx="2">
                  <c:v>0.166666666666667</c:v>
                </c:pt>
                <c:pt idx="3">
                  <c:v>0.2</c:v>
                </c:pt>
                <c:pt idx="4">
                  <c:v>0.230769230769231</c:v>
                </c:pt>
                <c:pt idx="5">
                  <c:v>0.259259259259259</c:v>
                </c:pt>
                <c:pt idx="6">
                  <c:v>0.285714285714286</c:v>
                </c:pt>
                <c:pt idx="7">
                  <c:v>0.310344827586207</c:v>
                </c:pt>
                <c:pt idx="8">
                  <c:v>0.333333333333333</c:v>
                </c:pt>
                <c:pt idx="9">
                  <c:v>0.354838709677419</c:v>
                </c:pt>
                <c:pt idx="10">
                  <c:v>0.375</c:v>
                </c:pt>
                <c:pt idx="11">
                  <c:v>0.393939393939394</c:v>
                </c:pt>
                <c:pt idx="12">
                  <c:v>0.411764705882353</c:v>
                </c:pt>
                <c:pt idx="13">
                  <c:v>0.428571428571429</c:v>
                </c:pt>
                <c:pt idx="14">
                  <c:v>0.444444444444444</c:v>
                </c:pt>
                <c:pt idx="15">
                  <c:v>0.459459459459459</c:v>
                </c:pt>
                <c:pt idx="16">
                  <c:v>0.473684210526316</c:v>
                </c:pt>
                <c:pt idx="17">
                  <c:v>0.487179487179487</c:v>
                </c:pt>
                <c:pt idx="18">
                  <c:v>0.5</c:v>
                </c:pt>
                <c:pt idx="19">
                  <c:v>0.51219512195122</c:v>
                </c:pt>
                <c:pt idx="20">
                  <c:v>0.523809523809524</c:v>
                </c:pt>
                <c:pt idx="21">
                  <c:v>0.534883720930233</c:v>
                </c:pt>
                <c:pt idx="22">
                  <c:v>0.545454545454545</c:v>
                </c:pt>
                <c:pt idx="23">
                  <c:v>0.555555555555556</c:v>
                </c:pt>
                <c:pt idx="24">
                  <c:v>0.565217391304348</c:v>
                </c:pt>
                <c:pt idx="25">
                  <c:v>0.574468085106383</c:v>
                </c:pt>
                <c:pt idx="26">
                  <c:v>0.583333333333333</c:v>
                </c:pt>
                <c:pt idx="27">
                  <c:v>0.591836734693878</c:v>
                </c:pt>
                <c:pt idx="28">
                  <c:v>0.6</c:v>
                </c:pt>
                <c:pt idx="29">
                  <c:v>0.607843137254902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6522722"/>
        <c:axId val="800982485"/>
      </c:lineChart>
      <c:catAx>
        <c:axId val="50652272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0982485"/>
        <c:crosses val="autoZero"/>
        <c:auto val="1"/>
        <c:lblAlgn val="ctr"/>
        <c:lblOffset val="100"/>
        <c:noMultiLvlLbl val="0"/>
      </c:catAx>
      <c:valAx>
        <c:axId val="80098248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652272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8dce864-389d-458c-88f6-2acd4650c65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165100</xdr:colOff>
      <xdr:row>23</xdr:row>
      <xdr:rowOff>51435</xdr:rowOff>
    </xdr:from>
    <xdr:to>
      <xdr:col>12</xdr:col>
      <xdr:colOff>8638540</xdr:colOff>
      <xdr:row>57</xdr:row>
      <xdr:rowOff>79375</xdr:rowOff>
    </xdr:to>
    <xdr:graphicFrame>
      <xdr:nvGraphicFramePr>
        <xdr:cNvPr id="3" name="图表 2"/>
        <xdr:cNvGraphicFramePr/>
      </xdr:nvGraphicFramePr>
      <xdr:xfrm>
        <a:off x="10433050" y="5718810"/>
        <a:ext cx="9159240" cy="5857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165100</xdr:colOff>
      <xdr:row>23</xdr:row>
      <xdr:rowOff>51435</xdr:rowOff>
    </xdr:from>
    <xdr:to>
      <xdr:col>12</xdr:col>
      <xdr:colOff>8638540</xdr:colOff>
      <xdr:row>57</xdr:row>
      <xdr:rowOff>79375</xdr:rowOff>
    </xdr:to>
    <xdr:graphicFrame>
      <xdr:nvGraphicFramePr>
        <xdr:cNvPr id="2" name="图表 1"/>
        <xdr:cNvGraphicFramePr/>
      </xdr:nvGraphicFramePr>
      <xdr:xfrm>
        <a:off x="10433050" y="5718810"/>
        <a:ext cx="9425940" cy="5857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552450</xdr:colOff>
      <xdr:row>2</xdr:row>
      <xdr:rowOff>123825</xdr:rowOff>
    </xdr:to>
    <xdr:pic>
      <xdr:nvPicPr>
        <xdr:cNvPr id="2" name="ID_1CD860229186435C8AA99115BB0589DF" descr="upload_post_object_v2_1335850271"/>
        <xdr:cNvPicPr/>
      </xdr:nvPicPr>
      <xdr:blipFill>
        <a:blip r:embed="rId1"/>
        <a:stretch>
          <a:fillRect/>
        </a:stretch>
      </xdr:blipFill>
      <xdr:spPr>
        <a:xfrm>
          <a:off x="0" y="0"/>
          <a:ext cx="6038850" cy="4667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676275</xdr:colOff>
      <xdr:row>4</xdr:row>
      <xdr:rowOff>28575</xdr:rowOff>
    </xdr:to>
    <xdr:pic>
      <xdr:nvPicPr>
        <xdr:cNvPr id="3" name="ID_1A9C3641B28F4F3CB70406C5FF0D00FE" descr="upload_post_object_v2_433761079"/>
        <xdr:cNvPicPr/>
      </xdr:nvPicPr>
      <xdr:blipFill>
        <a:blip r:embed="rId2"/>
        <a:stretch>
          <a:fillRect/>
        </a:stretch>
      </xdr:blipFill>
      <xdr:spPr>
        <a:xfrm>
          <a:off x="0" y="0"/>
          <a:ext cx="4105275" cy="714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3"/>
  <sheetViews>
    <sheetView workbookViewId="0">
      <selection activeCell="I2" sqref="I2"/>
    </sheetView>
  </sheetViews>
  <sheetFormatPr defaultColWidth="9" defaultRowHeight="13.5"/>
  <cols>
    <col min="1" max="2" width="9" style="1"/>
    <col min="3" max="3" width="18.75" style="2" customWidth="1"/>
    <col min="4" max="4" width="9.25" customWidth="1"/>
    <col min="5" max="6" width="9" style="3"/>
    <col min="7" max="7" width="12.625" style="4"/>
    <col min="8" max="8" width="12.625"/>
    <col min="9" max="9" width="14.875" customWidth="1"/>
    <col min="10" max="10" width="15.625" style="5" customWidth="1"/>
    <col min="11" max="11" width="15" style="5" customWidth="1"/>
    <col min="13" max="13" width="119" customWidth="1"/>
  </cols>
  <sheetData>
    <row r="1" spans="1:19">
      <c r="H1" t="s">
        <v>0</v>
      </c>
      <c r="I1" s="6" t="s">
        <v>1</v>
      </c>
      <c r="J1" s="7" t="s">
        <v>2</v>
      </c>
      <c r="K1" s="7"/>
    </row>
    <row r="2" ht="18.75" spans="1:19">
      <c r="A2" s="8" t="s">
        <v>3</v>
      </c>
      <c r="B2" s="8"/>
      <c r="C2" s="9"/>
      <c r="D2" s="10"/>
      <c r="E2" s="11" t="s">
        <v>4</v>
      </c>
      <c r="F2" s="11"/>
      <c r="G2" s="12"/>
      <c r="H2" t="s">
        <v>5</v>
      </c>
      <c r="I2" s="13">
        <v>1</v>
      </c>
      <c r="J2" s="14">
        <v>45506</v>
      </c>
      <c r="K2" s="5">
        <v>0.1</v>
      </c>
      <c r="M2" s="15" t="s">
        <v>6</v>
      </c>
    </row>
    <row r="3" spans="1:19">
      <c r="A3" s="1" t="s">
        <v>7</v>
      </c>
      <c r="B3" s="1" t="s">
        <v>8</v>
      </c>
      <c r="C3" s="2" t="s">
        <v>9</v>
      </c>
      <c r="D3" s="6" t="s">
        <v>10</v>
      </c>
      <c r="E3" s="3" t="s">
        <v>7</v>
      </c>
      <c r="F3" s="3" t="s">
        <v>8</v>
      </c>
      <c r="G3" s="26" t="s">
        <v>11</v>
      </c>
      <c r="I3" s="6" t="s">
        <v>12</v>
      </c>
      <c r="J3" s="14">
        <v>45513</v>
      </c>
    </row>
    <row r="4" ht="14.25" spans="1:19">
      <c r="A4" s="16">
        <v>0.05</v>
      </c>
      <c r="B4" s="16">
        <v>0.1</v>
      </c>
      <c r="C4" s="2">
        <f t="shared" ref="C4:C33" si="0">A4+A4*B4</f>
        <v>0.055</v>
      </c>
      <c r="D4">
        <f>C4-G4</f>
        <v>0.000454545454545451</v>
      </c>
      <c r="E4" s="17">
        <v>0.05</v>
      </c>
      <c r="F4" s="17">
        <v>0.1</v>
      </c>
      <c r="G4" s="4">
        <f>E4+E4*(F4/(1+I$2*F4))</f>
        <v>0.0545454545454545</v>
      </c>
      <c r="H4" s="18">
        <f>G4/C4</f>
        <v>0.991735537190083</v>
      </c>
      <c r="I4" s="6">
        <f>E4+E4*(F4/(1+I$2*F4))/(F4/(1+I$2*F4))*F4</f>
        <v>0.055</v>
      </c>
      <c r="J4" s="27">
        <v>45520</v>
      </c>
      <c r="K4" s="28">
        <v>0.15</v>
      </c>
      <c r="M4" s="19" t="s">
        <v>13</v>
      </c>
    </row>
    <row r="5" spans="1:19">
      <c r="A5" s="16">
        <v>0.05</v>
      </c>
      <c r="B5" s="16">
        <v>0.15</v>
      </c>
      <c r="C5" s="2">
        <f t="shared" si="0"/>
        <v>0.0575</v>
      </c>
      <c r="D5">
        <f t="shared" ref="D5:D36" si="1">C5-G5</f>
        <v>0.000978260869565213</v>
      </c>
      <c r="E5" s="17">
        <v>0.05</v>
      </c>
      <c r="F5" s="17">
        <v>0.15</v>
      </c>
      <c r="G5" s="4">
        <f t="shared" ref="G5:G33" si="2">E5+E5*(F5/(1+I$2*F5))</f>
        <v>0.0565217391304348</v>
      </c>
      <c r="H5" s="18">
        <f t="shared" ref="H5:H38" si="3">G5/C5</f>
        <v>0.982986767485822</v>
      </c>
      <c r="I5" s="6">
        <f t="shared" ref="I5:I49" si="4">E5+E5*(F5/(1+I$2*F5))/(F5/(1+I$2*F5))*F5</f>
        <v>0.0575</v>
      </c>
      <c r="J5" s="14">
        <v>45527</v>
      </c>
    </row>
    <row r="6" ht="14.25" spans="1:19">
      <c r="A6" s="16">
        <v>0.05</v>
      </c>
      <c r="B6" s="16">
        <v>0.2</v>
      </c>
      <c r="C6" s="2">
        <f t="shared" si="0"/>
        <v>0.06</v>
      </c>
      <c r="D6">
        <f t="shared" si="1"/>
        <v>0.00166666666666666</v>
      </c>
      <c r="E6" s="17">
        <v>0.05</v>
      </c>
      <c r="F6" s="17">
        <v>0.2</v>
      </c>
      <c r="G6" s="4">
        <f t="shared" si="2"/>
        <v>0.0583333333333333</v>
      </c>
      <c r="H6" s="18">
        <f t="shared" si="3"/>
        <v>0.972222222222222</v>
      </c>
      <c r="I6" s="6">
        <f t="shared" si="4"/>
        <v>0.06</v>
      </c>
      <c r="J6" s="14">
        <v>45534</v>
      </c>
      <c r="K6" s="5">
        <v>0.2</v>
      </c>
      <c r="M6" s="19" t="s">
        <v>14</v>
      </c>
      <c r="N6" s="20" t="s">
        <v>15</v>
      </c>
      <c r="O6" s="13"/>
      <c r="P6" s="13"/>
      <c r="Q6" s="13"/>
      <c r="R6" s="13"/>
      <c r="S6" s="13"/>
    </row>
    <row r="7" spans="1:19">
      <c r="A7" s="16">
        <v>0.05</v>
      </c>
      <c r="B7" s="16">
        <v>0.25</v>
      </c>
      <c r="C7" s="2">
        <f t="shared" si="0"/>
        <v>0.0625</v>
      </c>
      <c r="D7">
        <f t="shared" si="1"/>
        <v>0.0025</v>
      </c>
      <c r="E7" s="17">
        <v>0.05</v>
      </c>
      <c r="F7" s="17">
        <v>0.25</v>
      </c>
      <c r="G7" s="4">
        <f t="shared" si="2"/>
        <v>0.06</v>
      </c>
      <c r="H7" s="18">
        <f t="shared" si="3"/>
        <v>0.96</v>
      </c>
      <c r="I7" s="6">
        <f t="shared" si="4"/>
        <v>0.0625</v>
      </c>
      <c r="J7" s="14">
        <v>45541</v>
      </c>
      <c r="N7" s="13"/>
      <c r="O7" s="13"/>
      <c r="P7" s="13"/>
      <c r="Q7" s="13"/>
      <c r="R7" s="13"/>
      <c r="S7" s="13"/>
    </row>
    <row r="8" ht="39" spans="1:19">
      <c r="A8" s="16">
        <v>0.05</v>
      </c>
      <c r="B8" s="16">
        <v>0.3</v>
      </c>
      <c r="C8" s="2">
        <f t="shared" si="0"/>
        <v>0.065</v>
      </c>
      <c r="D8">
        <f t="shared" si="1"/>
        <v>0.00346153846153846</v>
      </c>
      <c r="E8" s="17">
        <v>0.05</v>
      </c>
      <c r="F8" s="17">
        <v>0.3</v>
      </c>
      <c r="G8" s="4">
        <f t="shared" si="2"/>
        <v>0.0615384615384615</v>
      </c>
      <c r="H8" s="18">
        <f t="shared" si="3"/>
        <v>0.946745562130178</v>
      </c>
      <c r="I8" s="6">
        <f t="shared" si="4"/>
        <v>0.065</v>
      </c>
      <c r="J8" s="14">
        <v>45548</v>
      </c>
      <c r="K8" s="5">
        <v>0.25</v>
      </c>
      <c r="M8" s="15" t="str">
        <f>_xlfn.DISPIMG("ID_1CD860229186435C8AA99115BB0589DF",1)</f>
        <v>=DISPIMG("ID_1CD860229186435C8AA99115BB0589DF",1)</v>
      </c>
      <c r="N8" s="20" t="s">
        <v>16</v>
      </c>
      <c r="O8" s="13"/>
      <c r="P8" s="13"/>
      <c r="Q8" s="13"/>
      <c r="R8" s="13"/>
      <c r="S8" s="13"/>
    </row>
    <row r="9" spans="1:19">
      <c r="A9" s="16">
        <v>0.05</v>
      </c>
      <c r="B9" s="16">
        <v>0.35</v>
      </c>
      <c r="C9" s="2">
        <f t="shared" si="0"/>
        <v>0.0675</v>
      </c>
      <c r="D9">
        <f t="shared" si="1"/>
        <v>0.00453703703703703</v>
      </c>
      <c r="E9" s="17">
        <v>0.05</v>
      </c>
      <c r="F9" s="17">
        <v>0.35</v>
      </c>
      <c r="G9" s="4">
        <f t="shared" si="2"/>
        <v>0.062962962962963</v>
      </c>
      <c r="H9" s="18">
        <f t="shared" si="3"/>
        <v>0.93278463648834</v>
      </c>
      <c r="I9" s="6">
        <f t="shared" si="4"/>
        <v>0.0675</v>
      </c>
      <c r="J9" s="14">
        <v>45555</v>
      </c>
    </row>
    <row r="10" ht="18.75" spans="1:19">
      <c r="A10" s="16">
        <v>0.05</v>
      </c>
      <c r="B10" s="16">
        <v>0.4</v>
      </c>
      <c r="C10" s="2">
        <f t="shared" si="0"/>
        <v>0.07</v>
      </c>
      <c r="D10">
        <f t="shared" si="1"/>
        <v>0.00571428571428571</v>
      </c>
      <c r="E10" s="17">
        <v>0.05</v>
      </c>
      <c r="F10" s="17">
        <v>0.4</v>
      </c>
      <c r="G10" s="4">
        <f t="shared" si="2"/>
        <v>0.0642857142857143</v>
      </c>
      <c r="H10" s="18">
        <f t="shared" si="3"/>
        <v>0.918367346938776</v>
      </c>
      <c r="I10" s="6">
        <f t="shared" si="4"/>
        <v>0.07</v>
      </c>
      <c r="J10" s="14">
        <v>45562</v>
      </c>
      <c r="K10" s="5">
        <v>0.3</v>
      </c>
      <c r="M10" s="21" t="s">
        <v>17</v>
      </c>
    </row>
    <row r="11" spans="1:19">
      <c r="A11" s="16">
        <v>0.05</v>
      </c>
      <c r="B11" s="16">
        <v>0.45</v>
      </c>
      <c r="C11" s="2">
        <f t="shared" si="0"/>
        <v>0.0725</v>
      </c>
      <c r="D11">
        <f t="shared" si="1"/>
        <v>0.00698275862068964</v>
      </c>
      <c r="E11" s="17">
        <v>0.05</v>
      </c>
      <c r="F11" s="17">
        <v>0.45</v>
      </c>
      <c r="G11" s="4">
        <f t="shared" si="2"/>
        <v>0.0655172413793104</v>
      </c>
      <c r="H11" s="18">
        <f t="shared" si="3"/>
        <v>0.903686087990488</v>
      </c>
      <c r="I11" s="6">
        <f t="shared" si="4"/>
        <v>0.0725</v>
      </c>
      <c r="J11" s="14">
        <v>45569</v>
      </c>
    </row>
    <row r="12" ht="14.25" spans="1:19">
      <c r="A12" s="16">
        <v>0.05</v>
      </c>
      <c r="B12" s="16">
        <v>0.5</v>
      </c>
      <c r="C12" s="2">
        <f t="shared" si="0"/>
        <v>0.075</v>
      </c>
      <c r="D12">
        <f t="shared" si="1"/>
        <v>0.00833333333333333</v>
      </c>
      <c r="E12" s="17">
        <v>0.05</v>
      </c>
      <c r="F12" s="17">
        <v>0.5</v>
      </c>
      <c r="G12" s="4">
        <f t="shared" si="2"/>
        <v>0.0666666666666667</v>
      </c>
      <c r="H12" s="18">
        <f t="shared" si="3"/>
        <v>0.888888888888889</v>
      </c>
      <c r="I12" s="6">
        <f t="shared" si="4"/>
        <v>0.075</v>
      </c>
      <c r="J12" s="14">
        <v>45576</v>
      </c>
      <c r="K12" s="5">
        <v>0.35</v>
      </c>
      <c r="M12" s="19" t="s">
        <v>18</v>
      </c>
    </row>
    <row r="13" spans="1:19">
      <c r="A13" s="16">
        <v>0.05</v>
      </c>
      <c r="B13" s="16">
        <v>0.55</v>
      </c>
      <c r="C13" s="2">
        <f t="shared" si="0"/>
        <v>0.0775</v>
      </c>
      <c r="D13">
        <f t="shared" si="1"/>
        <v>0.00975806451612903</v>
      </c>
      <c r="E13" s="17">
        <v>0.05</v>
      </c>
      <c r="F13" s="17">
        <v>0.55</v>
      </c>
      <c r="G13" s="4">
        <f t="shared" si="2"/>
        <v>0.067741935483871</v>
      </c>
      <c r="H13" s="18">
        <f t="shared" si="3"/>
        <v>0.874089490114464</v>
      </c>
      <c r="I13" s="6">
        <f t="shared" si="4"/>
        <v>0.0775</v>
      </c>
      <c r="J13" s="14">
        <v>45583</v>
      </c>
    </row>
    <row r="14" ht="14.25" spans="1:19">
      <c r="A14" s="16">
        <v>0.05</v>
      </c>
      <c r="B14" s="16">
        <v>0.6</v>
      </c>
      <c r="C14" s="2">
        <f t="shared" si="0"/>
        <v>0.08</v>
      </c>
      <c r="D14">
        <f t="shared" si="1"/>
        <v>0.01125</v>
      </c>
      <c r="E14" s="17">
        <v>0.05</v>
      </c>
      <c r="F14" s="17">
        <v>0.6</v>
      </c>
      <c r="G14" s="4">
        <f t="shared" si="2"/>
        <v>0.06875</v>
      </c>
      <c r="H14" s="18">
        <f t="shared" si="3"/>
        <v>0.859375</v>
      </c>
      <c r="I14" s="6">
        <f t="shared" si="4"/>
        <v>0.08</v>
      </c>
      <c r="J14" s="14">
        <v>45590</v>
      </c>
      <c r="K14" s="5">
        <v>0.4</v>
      </c>
      <c r="M14" s="22" t="s">
        <v>19</v>
      </c>
    </row>
    <row r="15" ht="14.25" spans="1:19">
      <c r="A15" s="16">
        <v>0.05</v>
      </c>
      <c r="B15" s="16">
        <v>0.65</v>
      </c>
      <c r="C15" s="2">
        <f t="shared" si="0"/>
        <v>0.0825</v>
      </c>
      <c r="D15">
        <f t="shared" si="1"/>
        <v>0.0128030303030303</v>
      </c>
      <c r="E15" s="17">
        <v>0.05</v>
      </c>
      <c r="F15" s="17">
        <v>0.65</v>
      </c>
      <c r="G15" s="4">
        <f t="shared" si="2"/>
        <v>0.0696969696969697</v>
      </c>
      <c r="H15" s="18">
        <f t="shared" si="3"/>
        <v>0.844811753902663</v>
      </c>
      <c r="I15" s="6">
        <f t="shared" si="4"/>
        <v>0.0825</v>
      </c>
      <c r="J15" s="14">
        <v>45597</v>
      </c>
      <c r="M15" s="22" t="s">
        <v>20</v>
      </c>
    </row>
    <row r="16" ht="14.25" spans="1:19">
      <c r="A16" s="16">
        <v>0.05</v>
      </c>
      <c r="B16" s="16">
        <v>0.7</v>
      </c>
      <c r="C16" s="2">
        <f t="shared" si="0"/>
        <v>0.085</v>
      </c>
      <c r="D16">
        <f t="shared" si="1"/>
        <v>0.0144117647058824</v>
      </c>
      <c r="E16" s="17">
        <v>0.05</v>
      </c>
      <c r="F16" s="17">
        <v>0.7</v>
      </c>
      <c r="G16" s="4">
        <f t="shared" si="2"/>
        <v>0.0705882352941176</v>
      </c>
      <c r="H16" s="18">
        <f t="shared" si="3"/>
        <v>0.830449826989619</v>
      </c>
      <c r="I16" s="6">
        <f t="shared" si="4"/>
        <v>0.085</v>
      </c>
      <c r="J16" s="14">
        <v>45604</v>
      </c>
      <c r="K16" s="5">
        <v>0.45</v>
      </c>
      <c r="M16" s="22" t="s">
        <v>21</v>
      </c>
    </row>
    <row r="17" ht="14.25" spans="1:13">
      <c r="A17" s="16">
        <v>0.05</v>
      </c>
      <c r="B17" s="16">
        <v>0.75</v>
      </c>
      <c r="C17" s="2">
        <f t="shared" si="0"/>
        <v>0.0875</v>
      </c>
      <c r="D17">
        <f t="shared" si="1"/>
        <v>0.0160714285714286</v>
      </c>
      <c r="E17" s="17">
        <v>0.05</v>
      </c>
      <c r="F17" s="17">
        <v>0.75</v>
      </c>
      <c r="G17" s="4">
        <f t="shared" si="2"/>
        <v>0.0714285714285714</v>
      </c>
      <c r="H17" s="18">
        <f t="shared" si="3"/>
        <v>0.816326530612245</v>
      </c>
      <c r="I17" s="6">
        <f t="shared" si="4"/>
        <v>0.0875</v>
      </c>
      <c r="J17" s="14">
        <v>45611</v>
      </c>
      <c r="M17" s="22" t="s">
        <v>22</v>
      </c>
    </row>
    <row r="18" ht="64.5" customHeight="1" spans="1:13">
      <c r="A18" s="16">
        <v>0.05</v>
      </c>
      <c r="B18" s="16">
        <v>0.8</v>
      </c>
      <c r="C18" s="2">
        <f t="shared" si="0"/>
        <v>0.09</v>
      </c>
      <c r="D18">
        <f t="shared" si="1"/>
        <v>0.0177777777777778</v>
      </c>
      <c r="E18" s="17">
        <v>0.05</v>
      </c>
      <c r="F18" s="17">
        <v>0.8</v>
      </c>
      <c r="G18" s="4">
        <f t="shared" si="2"/>
        <v>0.0722222222222222</v>
      </c>
      <c r="H18" s="18">
        <f t="shared" si="3"/>
        <v>0.802469135802469</v>
      </c>
      <c r="I18" s="6">
        <f t="shared" si="4"/>
        <v>0.09</v>
      </c>
      <c r="J18" s="14">
        <v>45618</v>
      </c>
      <c r="K18" s="5">
        <v>0.5</v>
      </c>
      <c r="M18" s="23" t="str">
        <f>_xlfn.DISPIMG("ID_1A9C3641B28F4F3CB70406C5FF0D00FE",1)</f>
        <v>=DISPIMG("ID_1A9C3641B28F4F3CB70406C5FF0D00FE",1)</v>
      </c>
    </row>
    <row r="19" spans="1:13">
      <c r="A19" s="16">
        <v>0.05</v>
      </c>
      <c r="B19" s="16">
        <v>0.85</v>
      </c>
      <c r="C19" s="2">
        <f t="shared" si="0"/>
        <v>0.0925</v>
      </c>
      <c r="D19">
        <f t="shared" si="1"/>
        <v>0.019527027027027</v>
      </c>
      <c r="E19" s="17">
        <v>0.05</v>
      </c>
      <c r="F19" s="17">
        <v>0.85</v>
      </c>
      <c r="G19" s="4">
        <f t="shared" si="2"/>
        <v>0.072972972972973</v>
      </c>
      <c r="H19" s="18">
        <f t="shared" si="3"/>
        <v>0.788897005113221</v>
      </c>
      <c r="I19" s="6">
        <f t="shared" si="4"/>
        <v>0.0925</v>
      </c>
      <c r="J19" s="14">
        <v>45625</v>
      </c>
    </row>
    <row r="20" ht="37.5" spans="1:13">
      <c r="A20" s="16">
        <v>0.05</v>
      </c>
      <c r="B20" s="16">
        <v>0.9</v>
      </c>
      <c r="C20" s="2">
        <f t="shared" si="0"/>
        <v>0.095</v>
      </c>
      <c r="D20">
        <f t="shared" si="1"/>
        <v>0.0213157894736842</v>
      </c>
      <c r="E20" s="17">
        <v>0.05</v>
      </c>
      <c r="F20" s="17">
        <v>0.9</v>
      </c>
      <c r="G20" s="4">
        <f t="shared" si="2"/>
        <v>0.0736842105263158</v>
      </c>
      <c r="H20" s="18">
        <f t="shared" si="3"/>
        <v>0.775623268698061</v>
      </c>
      <c r="I20" s="6">
        <f t="shared" si="4"/>
        <v>0.095</v>
      </c>
      <c r="J20" s="14">
        <v>45632</v>
      </c>
      <c r="K20" s="5">
        <v>0.55</v>
      </c>
      <c r="M20" s="22" t="s">
        <v>23</v>
      </c>
    </row>
    <row r="21" spans="1:13">
      <c r="A21" s="16">
        <v>0.05</v>
      </c>
      <c r="B21" s="16">
        <v>0.95</v>
      </c>
      <c r="C21" s="2">
        <f t="shared" si="0"/>
        <v>0.0975</v>
      </c>
      <c r="D21">
        <f t="shared" si="1"/>
        <v>0.0231410256410256</v>
      </c>
      <c r="E21" s="17">
        <v>0.05</v>
      </c>
      <c r="F21" s="17">
        <v>0.95</v>
      </c>
      <c r="G21" s="4">
        <f t="shared" si="2"/>
        <v>0.0743589743589744</v>
      </c>
      <c r="H21" s="18">
        <f t="shared" si="3"/>
        <v>0.762656147271532</v>
      </c>
      <c r="I21" s="6">
        <f t="shared" si="4"/>
        <v>0.0975</v>
      </c>
      <c r="J21" s="14">
        <v>45639</v>
      </c>
    </row>
    <row r="22" ht="33" spans="1:13">
      <c r="A22" s="16">
        <v>0.05</v>
      </c>
      <c r="B22" s="16">
        <v>1</v>
      </c>
      <c r="C22" s="2">
        <f t="shared" si="0"/>
        <v>0.1</v>
      </c>
      <c r="D22">
        <f t="shared" si="1"/>
        <v>0.025</v>
      </c>
      <c r="E22" s="17">
        <v>0.05</v>
      </c>
      <c r="F22" s="17">
        <v>1</v>
      </c>
      <c r="G22" s="4">
        <f t="shared" si="2"/>
        <v>0.075</v>
      </c>
      <c r="H22" s="18">
        <f t="shared" si="3"/>
        <v>0.75</v>
      </c>
      <c r="I22" s="6">
        <f t="shared" si="4"/>
        <v>0.1</v>
      </c>
      <c r="J22" s="14">
        <v>45646</v>
      </c>
      <c r="K22" s="5">
        <v>0.6</v>
      </c>
      <c r="M22" s="22" t="s">
        <v>24</v>
      </c>
    </row>
    <row r="23" spans="1:13">
      <c r="A23" s="16">
        <v>0.05</v>
      </c>
      <c r="B23" s="16">
        <v>1.05</v>
      </c>
      <c r="C23" s="2">
        <f t="shared" si="0"/>
        <v>0.1025</v>
      </c>
      <c r="D23">
        <f t="shared" si="1"/>
        <v>0.026890243902439</v>
      </c>
      <c r="E23" s="17">
        <v>0.05</v>
      </c>
      <c r="F23" s="17">
        <v>1.05</v>
      </c>
      <c r="G23" s="4">
        <f t="shared" si="2"/>
        <v>0.075609756097561</v>
      </c>
      <c r="H23" s="18">
        <f t="shared" si="3"/>
        <v>0.737656157049375</v>
      </c>
      <c r="I23" s="6">
        <f t="shared" si="4"/>
        <v>0.1025</v>
      </c>
      <c r="J23" s="14">
        <v>45653</v>
      </c>
    </row>
    <row r="24" spans="1:13">
      <c r="A24" s="16">
        <v>0.05</v>
      </c>
      <c r="B24" s="16">
        <v>1.1</v>
      </c>
      <c r="C24" s="2">
        <f t="shared" si="0"/>
        <v>0.105</v>
      </c>
      <c r="D24">
        <f t="shared" si="1"/>
        <v>0.0288095238095238</v>
      </c>
      <c r="E24" s="17">
        <v>0.05</v>
      </c>
      <c r="F24" s="17">
        <v>1.1</v>
      </c>
      <c r="G24" s="4">
        <f t="shared" si="2"/>
        <v>0.0761904761904762</v>
      </c>
      <c r="H24" s="18">
        <f t="shared" si="3"/>
        <v>0.72562358276644</v>
      </c>
      <c r="I24" s="6">
        <f t="shared" si="4"/>
        <v>0.105</v>
      </c>
      <c r="J24" s="14">
        <v>45660</v>
      </c>
      <c r="K24" s="5">
        <v>0.65</v>
      </c>
    </row>
    <row r="25" spans="1:13">
      <c r="A25" s="16">
        <v>0.05</v>
      </c>
      <c r="B25" s="16">
        <v>1.15</v>
      </c>
      <c r="C25" s="2">
        <f t="shared" si="0"/>
        <v>0.1075</v>
      </c>
      <c r="D25">
        <f t="shared" si="1"/>
        <v>0.0307558139534884</v>
      </c>
      <c r="E25" s="17">
        <v>0.05</v>
      </c>
      <c r="F25" s="17">
        <v>1.15</v>
      </c>
      <c r="G25" s="4">
        <f t="shared" si="2"/>
        <v>0.0767441860465116</v>
      </c>
      <c r="H25" s="18">
        <f t="shared" si="3"/>
        <v>0.713899405083829</v>
      </c>
      <c r="I25" s="6">
        <f t="shared" si="4"/>
        <v>0.1075</v>
      </c>
      <c r="J25" s="14">
        <v>45667</v>
      </c>
    </row>
    <row r="26" spans="1:13">
      <c r="A26" s="16">
        <v>0.05</v>
      </c>
      <c r="B26" s="16">
        <v>1.2</v>
      </c>
      <c r="C26" s="2">
        <f t="shared" si="0"/>
        <v>0.11</v>
      </c>
      <c r="D26">
        <f t="shared" si="1"/>
        <v>0.0327272727272727</v>
      </c>
      <c r="E26" s="17">
        <v>0.05</v>
      </c>
      <c r="F26" s="17">
        <v>1.2</v>
      </c>
      <c r="G26" s="4">
        <f t="shared" si="2"/>
        <v>0.0772727272727273</v>
      </c>
      <c r="H26" s="18">
        <f t="shared" si="3"/>
        <v>0.702479338842975</v>
      </c>
      <c r="I26" s="6">
        <f t="shared" si="4"/>
        <v>0.11</v>
      </c>
      <c r="J26" s="14">
        <v>45674</v>
      </c>
      <c r="K26" s="5">
        <v>0.7</v>
      </c>
    </row>
    <row r="27" spans="1:13">
      <c r="A27" s="16">
        <v>0.05</v>
      </c>
      <c r="B27" s="16">
        <v>1.25</v>
      </c>
      <c r="C27" s="2">
        <f t="shared" si="0"/>
        <v>0.1125</v>
      </c>
      <c r="D27">
        <f t="shared" si="1"/>
        <v>0.0347222222222222</v>
      </c>
      <c r="E27" s="17">
        <v>0.05</v>
      </c>
      <c r="F27" s="17">
        <v>1.25</v>
      </c>
      <c r="G27" s="4">
        <f t="shared" si="2"/>
        <v>0.0777777777777778</v>
      </c>
      <c r="H27" s="18">
        <f t="shared" si="3"/>
        <v>0.691358024691358</v>
      </c>
      <c r="I27" s="6">
        <f t="shared" si="4"/>
        <v>0.1125</v>
      </c>
      <c r="J27" s="14">
        <v>45681</v>
      </c>
    </row>
    <row r="28" spans="1:13">
      <c r="A28" s="16">
        <v>0.05</v>
      </c>
      <c r="B28" s="16">
        <v>1.3</v>
      </c>
      <c r="C28" s="2">
        <f t="shared" si="0"/>
        <v>0.115</v>
      </c>
      <c r="D28">
        <f t="shared" si="1"/>
        <v>0.0367391304347826</v>
      </c>
      <c r="E28" s="17">
        <v>0.05</v>
      </c>
      <c r="F28" s="17">
        <v>1.3</v>
      </c>
      <c r="G28" s="4">
        <f t="shared" si="2"/>
        <v>0.0782608695652174</v>
      </c>
      <c r="H28" s="18">
        <f t="shared" si="3"/>
        <v>0.680529300567108</v>
      </c>
      <c r="I28" s="6">
        <f t="shared" si="4"/>
        <v>0.115</v>
      </c>
      <c r="J28" s="14">
        <v>45688</v>
      </c>
      <c r="K28" s="5">
        <v>0.75</v>
      </c>
    </row>
    <row r="29" spans="1:13">
      <c r="A29" s="16">
        <v>0.05</v>
      </c>
      <c r="B29" s="16">
        <v>1.35</v>
      </c>
      <c r="C29" s="2">
        <f t="shared" si="0"/>
        <v>0.1175</v>
      </c>
      <c r="D29">
        <f t="shared" si="1"/>
        <v>0.0387765957446808</v>
      </c>
      <c r="E29" s="17">
        <v>0.05</v>
      </c>
      <c r="F29" s="17">
        <v>1.35</v>
      </c>
      <c r="G29" s="4">
        <f t="shared" si="2"/>
        <v>0.0787234042553192</v>
      </c>
      <c r="H29" s="18"/>
      <c r="I29" s="6"/>
      <c r="J29" s="14">
        <v>45695</v>
      </c>
    </row>
    <row r="30" spans="1:13">
      <c r="A30" s="16">
        <v>0.05</v>
      </c>
      <c r="B30" s="16">
        <v>1.4</v>
      </c>
      <c r="C30" s="2">
        <f t="shared" si="0"/>
        <v>0.12</v>
      </c>
      <c r="D30">
        <f t="shared" si="1"/>
        <v>0.0408333333333333</v>
      </c>
      <c r="E30" s="17">
        <v>0.05</v>
      </c>
      <c r="F30" s="17">
        <v>1.4</v>
      </c>
      <c r="G30" s="4">
        <f t="shared" si="2"/>
        <v>0.0791666666666667</v>
      </c>
      <c r="H30" s="18"/>
      <c r="I30" s="6"/>
      <c r="J30" s="14">
        <v>45702</v>
      </c>
      <c r="K30" s="5">
        <v>0.8</v>
      </c>
    </row>
    <row r="31" spans="1:13">
      <c r="A31" s="16">
        <v>0.05</v>
      </c>
      <c r="B31" s="16">
        <v>1.45</v>
      </c>
      <c r="C31" s="2">
        <f t="shared" si="0"/>
        <v>0.1225</v>
      </c>
      <c r="D31">
        <f t="shared" si="1"/>
        <v>0.0429081632653061</v>
      </c>
      <c r="E31" s="17">
        <v>0.05</v>
      </c>
      <c r="F31" s="17">
        <v>1.45</v>
      </c>
      <c r="G31" s="4">
        <f t="shared" si="2"/>
        <v>0.0795918367346939</v>
      </c>
      <c r="H31" s="18"/>
      <c r="I31" s="6"/>
      <c r="J31" s="14">
        <v>45709</v>
      </c>
    </row>
    <row r="32" spans="1:13">
      <c r="A32" s="16">
        <v>0.05</v>
      </c>
      <c r="B32" s="16">
        <v>1.5</v>
      </c>
      <c r="C32" s="2">
        <f t="shared" si="0"/>
        <v>0.125</v>
      </c>
      <c r="D32">
        <f t="shared" si="1"/>
        <v>0.045</v>
      </c>
      <c r="E32" s="17">
        <v>0.05</v>
      </c>
      <c r="F32" s="17">
        <v>1.5</v>
      </c>
      <c r="G32" s="4">
        <f t="shared" si="2"/>
        <v>0.08</v>
      </c>
      <c r="H32" s="18"/>
      <c r="I32" s="6"/>
      <c r="J32" s="14">
        <v>45716</v>
      </c>
      <c r="K32" s="5">
        <v>0.85</v>
      </c>
    </row>
    <row r="33" spans="1:11">
      <c r="A33" s="16">
        <v>0.05</v>
      </c>
      <c r="B33" s="16">
        <v>1.55</v>
      </c>
      <c r="C33" s="2">
        <f t="shared" si="0"/>
        <v>0.1275</v>
      </c>
      <c r="D33">
        <f t="shared" si="1"/>
        <v>0.0471078431372549</v>
      </c>
      <c r="E33" s="17">
        <v>0.05</v>
      </c>
      <c r="F33" s="17">
        <v>1.55</v>
      </c>
      <c r="G33" s="4">
        <f t="shared" si="2"/>
        <v>0.0803921568627451</v>
      </c>
      <c r="H33" s="18"/>
      <c r="I33" s="6"/>
      <c r="J33" s="14">
        <v>45723</v>
      </c>
    </row>
    <row r="34" spans="1:11">
      <c r="A34" s="16">
        <v>0.05</v>
      </c>
      <c r="B34" s="16">
        <v>1.6</v>
      </c>
      <c r="C34" s="2">
        <f t="shared" ref="C34:C63" si="5">A34+A34*B34</f>
        <v>0.13</v>
      </c>
      <c r="D34">
        <f t="shared" si="1"/>
        <v>0.0492307692307692</v>
      </c>
      <c r="E34" s="17">
        <v>0.05</v>
      </c>
      <c r="F34" s="17">
        <v>1.6</v>
      </c>
      <c r="G34" s="4">
        <f t="shared" ref="G34:G63" si="6">E34+E34*(F34/(1+I$2*F34))</f>
        <v>0.0807692307692308</v>
      </c>
      <c r="H34" s="18"/>
      <c r="I34" s="6"/>
      <c r="J34" s="14">
        <v>45730</v>
      </c>
      <c r="K34" s="5">
        <v>0.9</v>
      </c>
    </row>
    <row r="35" spans="1:11">
      <c r="A35" s="16">
        <v>0.05</v>
      </c>
      <c r="B35" s="16">
        <v>1.65</v>
      </c>
      <c r="C35" s="2">
        <f t="shared" si="5"/>
        <v>0.1325</v>
      </c>
      <c r="D35">
        <f t="shared" si="1"/>
        <v>0.0513679245283019</v>
      </c>
      <c r="E35" s="17">
        <v>0.05</v>
      </c>
      <c r="F35" s="17">
        <v>1.65</v>
      </c>
      <c r="G35" s="4">
        <f t="shared" si="6"/>
        <v>0.0811320754716981</v>
      </c>
      <c r="H35" s="18"/>
      <c r="I35" s="6"/>
      <c r="J35" s="14">
        <v>45737</v>
      </c>
    </row>
    <row r="36" spans="1:11">
      <c r="A36" s="16">
        <v>0.05</v>
      </c>
      <c r="B36" s="16">
        <v>1.7</v>
      </c>
      <c r="C36" s="2">
        <f t="shared" si="5"/>
        <v>0.135</v>
      </c>
      <c r="D36">
        <f t="shared" si="1"/>
        <v>0.0535185185185185</v>
      </c>
      <c r="E36" s="17">
        <v>0.05</v>
      </c>
      <c r="F36" s="17">
        <v>1.7</v>
      </c>
      <c r="G36" s="4">
        <f t="shared" si="6"/>
        <v>0.0814814814814815</v>
      </c>
      <c r="H36" s="18"/>
      <c r="I36" s="6"/>
      <c r="J36" s="14">
        <v>45744</v>
      </c>
      <c r="K36" s="5">
        <v>0.95</v>
      </c>
    </row>
    <row r="37" spans="1:11">
      <c r="A37" s="16">
        <v>0.05</v>
      </c>
      <c r="B37" s="16">
        <v>1.75</v>
      </c>
      <c r="C37" s="2">
        <f t="shared" si="5"/>
        <v>0.1375</v>
      </c>
      <c r="D37">
        <f t="shared" ref="D37:D63" si="7">C37-G37</f>
        <v>0.0556818181818182</v>
      </c>
      <c r="E37" s="17">
        <v>0.05</v>
      </c>
      <c r="F37" s="17">
        <v>1.75</v>
      </c>
      <c r="G37" s="4">
        <f t="shared" si="6"/>
        <v>0.0818181818181818</v>
      </c>
      <c r="H37" s="18"/>
      <c r="I37" s="6"/>
      <c r="J37" s="14">
        <v>45751</v>
      </c>
    </row>
    <row r="38" spans="1:11">
      <c r="A38" s="16">
        <v>0.05</v>
      </c>
      <c r="B38" s="16">
        <v>1.8</v>
      </c>
      <c r="C38" s="2">
        <f t="shared" si="5"/>
        <v>0.14</v>
      </c>
      <c r="D38">
        <f t="shared" si="7"/>
        <v>0.0578571428571429</v>
      </c>
      <c r="E38" s="17">
        <v>0.05</v>
      </c>
      <c r="F38" s="17">
        <v>1.8</v>
      </c>
      <c r="G38" s="4">
        <f t="shared" si="6"/>
        <v>0.0821428571428572</v>
      </c>
      <c r="H38" s="18"/>
      <c r="I38" s="6"/>
      <c r="J38" s="14">
        <v>45758</v>
      </c>
      <c r="K38" s="5">
        <v>1</v>
      </c>
    </row>
    <row r="39" spans="1:11">
      <c r="A39" s="16">
        <v>0.05</v>
      </c>
      <c r="B39" s="16">
        <v>1.85</v>
      </c>
      <c r="C39" s="2">
        <f t="shared" si="5"/>
        <v>0.1425</v>
      </c>
      <c r="D39">
        <f t="shared" si="7"/>
        <v>0.0600438596491228</v>
      </c>
      <c r="E39" s="17">
        <v>0.05</v>
      </c>
      <c r="F39" s="17">
        <v>1.85</v>
      </c>
      <c r="G39" s="4">
        <f t="shared" si="6"/>
        <v>0.0824561403508772</v>
      </c>
      <c r="H39" s="18"/>
      <c r="I39" s="6"/>
      <c r="J39" s="14">
        <v>45765</v>
      </c>
    </row>
    <row r="40" spans="1:11">
      <c r="A40" s="16">
        <v>0.05</v>
      </c>
      <c r="B40" s="16">
        <v>1.9</v>
      </c>
      <c r="C40" s="2">
        <f t="shared" si="5"/>
        <v>0.145</v>
      </c>
      <c r="D40">
        <f t="shared" si="7"/>
        <v>0.0622413793103448</v>
      </c>
      <c r="E40" s="17">
        <v>0.05</v>
      </c>
      <c r="F40" s="17">
        <v>1.9</v>
      </c>
      <c r="G40" s="4">
        <f t="shared" si="6"/>
        <v>0.0827586206896552</v>
      </c>
      <c r="H40" s="18"/>
      <c r="I40" s="6"/>
      <c r="J40" s="14">
        <v>45772</v>
      </c>
      <c r="K40" s="5">
        <v>1.05</v>
      </c>
    </row>
    <row r="41" spans="1:11">
      <c r="A41" s="16">
        <v>0.05</v>
      </c>
      <c r="B41" s="16">
        <v>1.95</v>
      </c>
      <c r="C41" s="2">
        <f t="shared" si="5"/>
        <v>0.1475</v>
      </c>
      <c r="D41">
        <f t="shared" si="7"/>
        <v>0.0644491525423729</v>
      </c>
      <c r="E41" s="17">
        <v>0.05</v>
      </c>
      <c r="F41" s="17">
        <v>1.95</v>
      </c>
      <c r="G41" s="4">
        <f t="shared" si="6"/>
        <v>0.0830508474576271</v>
      </c>
      <c r="H41" s="18"/>
      <c r="I41" s="6"/>
      <c r="J41" s="14">
        <v>45779</v>
      </c>
    </row>
    <row r="42" spans="1:11">
      <c r="A42" s="16">
        <v>0.05</v>
      </c>
      <c r="B42" s="16">
        <v>2</v>
      </c>
      <c r="C42" s="2">
        <f t="shared" si="5"/>
        <v>0.15</v>
      </c>
      <c r="D42">
        <f t="shared" si="7"/>
        <v>0.0666666666666667</v>
      </c>
      <c r="E42" s="17">
        <v>0.05</v>
      </c>
      <c r="F42" s="17">
        <v>2</v>
      </c>
      <c r="G42" s="4">
        <f t="shared" si="6"/>
        <v>0.0833333333333333</v>
      </c>
      <c r="H42" s="18"/>
      <c r="I42" s="6"/>
      <c r="J42" s="14">
        <v>45786</v>
      </c>
      <c r="K42" s="5">
        <v>1.1</v>
      </c>
    </row>
    <row r="43" spans="1:11">
      <c r="A43" s="16">
        <v>0.05</v>
      </c>
      <c r="B43" s="16">
        <v>2.05</v>
      </c>
      <c r="C43" s="2">
        <f t="shared" si="5"/>
        <v>0.1525</v>
      </c>
      <c r="D43">
        <f t="shared" si="7"/>
        <v>0.0688934426229508</v>
      </c>
      <c r="E43" s="17">
        <v>0.05</v>
      </c>
      <c r="F43" s="17">
        <v>2.05</v>
      </c>
      <c r="G43" s="4">
        <f t="shared" si="6"/>
        <v>0.0836065573770492</v>
      </c>
      <c r="H43" s="18"/>
      <c r="I43" s="6"/>
      <c r="J43" s="14">
        <v>45793</v>
      </c>
    </row>
    <row r="44" spans="1:11">
      <c r="A44" s="16">
        <v>0.05</v>
      </c>
      <c r="B44" s="16">
        <v>2.1</v>
      </c>
      <c r="C44" s="2">
        <f t="shared" si="5"/>
        <v>0.155</v>
      </c>
      <c r="D44">
        <f t="shared" si="7"/>
        <v>0.0711290322580645</v>
      </c>
      <c r="E44" s="17">
        <v>0.05</v>
      </c>
      <c r="F44" s="17">
        <v>2.1</v>
      </c>
      <c r="G44" s="4">
        <f t="shared" si="6"/>
        <v>0.0838709677419355</v>
      </c>
      <c r="H44" s="18"/>
      <c r="I44" s="6"/>
      <c r="J44" s="14">
        <v>45800</v>
      </c>
      <c r="K44" s="5">
        <v>1.15</v>
      </c>
    </row>
    <row r="45" spans="1:11">
      <c r="A45" s="16">
        <v>0.05</v>
      </c>
      <c r="B45" s="16">
        <v>2.15</v>
      </c>
      <c r="C45" s="2">
        <f t="shared" si="5"/>
        <v>0.1575</v>
      </c>
      <c r="D45">
        <f t="shared" si="7"/>
        <v>0.0733730158730159</v>
      </c>
      <c r="E45" s="17">
        <v>0.05</v>
      </c>
      <c r="F45" s="17">
        <v>2.15</v>
      </c>
      <c r="G45" s="4">
        <f t="shared" si="6"/>
        <v>0.0841269841269841</v>
      </c>
      <c r="H45" s="18"/>
      <c r="I45" s="6"/>
      <c r="J45" s="14">
        <v>45807</v>
      </c>
    </row>
    <row r="46" spans="1:11">
      <c r="A46" s="16">
        <v>0.05</v>
      </c>
      <c r="B46" s="16">
        <v>2.2</v>
      </c>
      <c r="C46" s="2">
        <f t="shared" si="5"/>
        <v>0.16</v>
      </c>
      <c r="D46">
        <f t="shared" si="7"/>
        <v>0.075625</v>
      </c>
      <c r="E46" s="17">
        <v>0.05</v>
      </c>
      <c r="F46" s="17">
        <v>2.2</v>
      </c>
      <c r="G46" s="4">
        <f t="shared" si="6"/>
        <v>0.084375</v>
      </c>
      <c r="H46" s="18"/>
      <c r="I46" s="6"/>
      <c r="J46" s="14">
        <v>45814</v>
      </c>
      <c r="K46" s="5">
        <v>1.2</v>
      </c>
    </row>
    <row r="47" spans="1:11">
      <c r="A47" s="16">
        <v>0.05</v>
      </c>
      <c r="B47" s="16">
        <v>2.25</v>
      </c>
      <c r="C47" s="2">
        <f t="shared" si="5"/>
        <v>0.1625</v>
      </c>
      <c r="D47">
        <f t="shared" si="7"/>
        <v>0.0778846153846154</v>
      </c>
      <c r="E47" s="17">
        <v>0.05</v>
      </c>
      <c r="F47" s="17">
        <v>2.25</v>
      </c>
      <c r="G47" s="4">
        <f t="shared" si="6"/>
        <v>0.0846153846153846</v>
      </c>
      <c r="H47" s="18"/>
      <c r="I47" s="6"/>
      <c r="J47" s="14">
        <v>45821</v>
      </c>
    </row>
    <row r="48" spans="1:11">
      <c r="A48" s="16">
        <v>0.05</v>
      </c>
      <c r="B48" s="16">
        <v>2.3</v>
      </c>
      <c r="C48" s="2">
        <f t="shared" si="5"/>
        <v>0.165</v>
      </c>
      <c r="D48">
        <f t="shared" si="7"/>
        <v>0.0801515151515152</v>
      </c>
      <c r="E48" s="17">
        <v>0.05</v>
      </c>
      <c r="F48" s="17">
        <v>2.3</v>
      </c>
      <c r="G48" s="4">
        <f t="shared" si="6"/>
        <v>0.0848484848484848</v>
      </c>
      <c r="H48" s="18"/>
      <c r="I48" s="6"/>
      <c r="J48" s="14">
        <v>45828</v>
      </c>
      <c r="K48" s="5">
        <v>1.25</v>
      </c>
    </row>
    <row r="49" spans="1:11">
      <c r="A49" s="16">
        <v>0.05</v>
      </c>
      <c r="B49" s="16">
        <v>2.35</v>
      </c>
      <c r="C49" s="2">
        <f t="shared" si="5"/>
        <v>0.1675</v>
      </c>
      <c r="D49">
        <f t="shared" si="7"/>
        <v>0.0824253731343284</v>
      </c>
      <c r="E49" s="17">
        <v>0.05</v>
      </c>
      <c r="F49" s="17">
        <v>2.35</v>
      </c>
      <c r="G49" s="4">
        <f t="shared" si="6"/>
        <v>0.0850746268656716</v>
      </c>
      <c r="H49" s="18"/>
      <c r="I49" s="6"/>
      <c r="J49" s="14">
        <v>45835</v>
      </c>
    </row>
    <row r="50" spans="1:11">
      <c r="A50" s="16">
        <v>0.05</v>
      </c>
      <c r="B50" s="16">
        <v>2.4</v>
      </c>
      <c r="C50" s="2">
        <f t="shared" si="5"/>
        <v>0.17</v>
      </c>
      <c r="D50">
        <f t="shared" si="7"/>
        <v>0.0847058823529412</v>
      </c>
      <c r="E50" s="17">
        <v>0.05</v>
      </c>
      <c r="F50" s="17">
        <v>2.4</v>
      </c>
      <c r="G50" s="4">
        <f t="shared" si="6"/>
        <v>0.0852941176470588</v>
      </c>
      <c r="H50" s="18"/>
      <c r="I50" s="6"/>
      <c r="J50" s="14">
        <v>45842</v>
      </c>
      <c r="K50" s="5">
        <v>1.3</v>
      </c>
    </row>
    <row r="51" spans="1:11">
      <c r="A51" s="16">
        <v>0.05</v>
      </c>
      <c r="B51" s="16">
        <v>2.45</v>
      </c>
      <c r="C51" s="2">
        <f t="shared" si="5"/>
        <v>0.1725</v>
      </c>
      <c r="D51">
        <f t="shared" si="7"/>
        <v>0.0869927536231884</v>
      </c>
      <c r="E51" s="17">
        <v>0.05</v>
      </c>
      <c r="F51" s="17">
        <v>2.45</v>
      </c>
      <c r="G51" s="4">
        <f t="shared" si="6"/>
        <v>0.0855072463768116</v>
      </c>
      <c r="H51" s="18"/>
      <c r="I51" s="6"/>
      <c r="J51" s="14">
        <v>45849</v>
      </c>
    </row>
    <row r="52" spans="1:11">
      <c r="A52" s="16">
        <v>0.05</v>
      </c>
      <c r="B52" s="16">
        <v>2.5</v>
      </c>
      <c r="C52" s="2">
        <f t="shared" si="5"/>
        <v>0.175</v>
      </c>
      <c r="D52">
        <f t="shared" si="7"/>
        <v>0.0892857142857143</v>
      </c>
      <c r="E52" s="17">
        <v>0.05</v>
      </c>
      <c r="F52" s="17">
        <v>2.5</v>
      </c>
      <c r="G52" s="4">
        <f t="shared" si="6"/>
        <v>0.0857142857142857</v>
      </c>
      <c r="H52" s="18"/>
      <c r="I52" s="6"/>
      <c r="J52" s="14">
        <v>45856</v>
      </c>
      <c r="K52" s="5">
        <v>1.35</v>
      </c>
    </row>
    <row r="53" spans="1:11">
      <c r="A53" s="16">
        <v>0.05</v>
      </c>
      <c r="B53" s="16">
        <v>2.55</v>
      </c>
      <c r="C53" s="2">
        <f t="shared" si="5"/>
        <v>0.1775</v>
      </c>
      <c r="D53">
        <f t="shared" si="7"/>
        <v>0.0915845070422535</v>
      </c>
      <c r="E53" s="17">
        <v>0.05</v>
      </c>
      <c r="F53" s="17">
        <v>2.55</v>
      </c>
      <c r="G53" s="4">
        <f t="shared" si="6"/>
        <v>0.0859154929577465</v>
      </c>
      <c r="H53" s="18"/>
      <c r="I53" s="6"/>
      <c r="J53" s="14">
        <v>45863</v>
      </c>
    </row>
    <row r="54" spans="1:11">
      <c r="A54" s="16">
        <v>0.05</v>
      </c>
      <c r="B54" s="16">
        <v>2.6</v>
      </c>
      <c r="C54" s="2">
        <f t="shared" si="5"/>
        <v>0.18</v>
      </c>
      <c r="D54">
        <f t="shared" si="7"/>
        <v>0.0938888888888889</v>
      </c>
      <c r="E54" s="17">
        <v>0.05</v>
      </c>
      <c r="F54" s="17">
        <v>2.6</v>
      </c>
      <c r="G54" s="4">
        <f t="shared" si="6"/>
        <v>0.0861111111111111</v>
      </c>
      <c r="H54" s="18"/>
      <c r="I54" s="6"/>
      <c r="J54" s="14">
        <v>45870</v>
      </c>
      <c r="K54" s="5">
        <v>1.4</v>
      </c>
    </row>
    <row r="55" spans="1:11">
      <c r="A55" s="16">
        <v>0.05</v>
      </c>
      <c r="B55" s="16">
        <v>2.65</v>
      </c>
      <c r="C55" s="2">
        <f t="shared" si="5"/>
        <v>0.1825</v>
      </c>
      <c r="D55">
        <f t="shared" si="7"/>
        <v>0.0961986301369863</v>
      </c>
      <c r="E55" s="17">
        <v>0.05</v>
      </c>
      <c r="F55" s="17">
        <v>2.65</v>
      </c>
      <c r="G55" s="4">
        <f t="shared" si="6"/>
        <v>0.0863013698630137</v>
      </c>
      <c r="H55" s="18"/>
      <c r="I55" s="6"/>
      <c r="J55" s="14">
        <v>45877</v>
      </c>
    </row>
    <row r="56" spans="1:11">
      <c r="A56" s="16">
        <v>0.05</v>
      </c>
      <c r="B56" s="16">
        <v>2.7</v>
      </c>
      <c r="C56" s="2">
        <f t="shared" si="5"/>
        <v>0.185</v>
      </c>
      <c r="D56">
        <f t="shared" si="7"/>
        <v>0.0985135135135135</v>
      </c>
      <c r="E56" s="17">
        <v>0.05</v>
      </c>
      <c r="F56" s="17">
        <v>2.7</v>
      </c>
      <c r="G56" s="4">
        <f t="shared" si="6"/>
        <v>0.0864864864864865</v>
      </c>
      <c r="H56" s="18"/>
      <c r="I56" s="6"/>
      <c r="J56" s="14">
        <v>45884</v>
      </c>
      <c r="K56" s="5">
        <v>1.45</v>
      </c>
    </row>
    <row r="57" spans="1:11">
      <c r="A57" s="16">
        <v>0.05</v>
      </c>
      <c r="B57" s="16">
        <v>2.75</v>
      </c>
      <c r="C57" s="2">
        <f t="shared" si="5"/>
        <v>0.1875</v>
      </c>
      <c r="D57">
        <f t="shared" si="7"/>
        <v>0.100833333333333</v>
      </c>
      <c r="E57" s="17">
        <v>0.05</v>
      </c>
      <c r="F57" s="17">
        <v>2.75</v>
      </c>
      <c r="G57" s="4">
        <f t="shared" si="6"/>
        <v>0.0866666666666667</v>
      </c>
      <c r="H57" s="18"/>
      <c r="I57" s="6"/>
      <c r="J57" s="14">
        <v>45891</v>
      </c>
    </row>
    <row r="58" spans="1:11">
      <c r="A58" s="16">
        <v>0.05</v>
      </c>
      <c r="B58" s="16">
        <v>2.8</v>
      </c>
      <c r="C58" s="2">
        <f t="shared" si="5"/>
        <v>0.19</v>
      </c>
      <c r="D58">
        <f t="shared" si="7"/>
        <v>0.103157894736842</v>
      </c>
      <c r="E58" s="17">
        <v>0.05</v>
      </c>
      <c r="F58" s="17">
        <v>2.8</v>
      </c>
      <c r="G58" s="4">
        <f t="shared" si="6"/>
        <v>0.0868421052631579</v>
      </c>
      <c r="H58" s="18"/>
      <c r="I58" s="6"/>
      <c r="J58" s="14">
        <v>45898</v>
      </c>
      <c r="K58" s="5">
        <v>1.5</v>
      </c>
    </row>
    <row r="59" spans="1:11">
      <c r="A59" s="16">
        <v>0.05</v>
      </c>
      <c r="B59" s="16">
        <v>2.85</v>
      </c>
      <c r="C59" s="2">
        <f t="shared" si="5"/>
        <v>0.1925</v>
      </c>
      <c r="D59">
        <f t="shared" si="7"/>
        <v>0.105487012987013</v>
      </c>
      <c r="E59" s="17">
        <v>0.05</v>
      </c>
      <c r="F59" s="17">
        <v>2.85</v>
      </c>
      <c r="G59" s="4">
        <f t="shared" si="6"/>
        <v>0.087012987012987</v>
      </c>
      <c r="H59" s="18"/>
      <c r="I59" s="6"/>
      <c r="J59" s="14">
        <v>45905</v>
      </c>
    </row>
    <row r="60" spans="1:11">
      <c r="A60" s="16">
        <v>0.05</v>
      </c>
      <c r="B60" s="16">
        <v>2.9</v>
      </c>
      <c r="C60" s="2">
        <f t="shared" si="5"/>
        <v>0.195</v>
      </c>
      <c r="D60">
        <f t="shared" si="7"/>
        <v>0.107820512820513</v>
      </c>
      <c r="E60" s="17">
        <v>0.05</v>
      </c>
      <c r="F60" s="17">
        <v>2.9</v>
      </c>
      <c r="G60" s="4">
        <f t="shared" si="6"/>
        <v>0.0871794871794872</v>
      </c>
      <c r="H60" s="18"/>
      <c r="I60" s="6"/>
      <c r="J60" s="14">
        <v>45912</v>
      </c>
      <c r="K60" s="5">
        <v>1.55</v>
      </c>
    </row>
    <row r="61" spans="1:11">
      <c r="A61" s="16">
        <v>0.05</v>
      </c>
      <c r="B61" s="16">
        <v>2.95</v>
      </c>
      <c r="C61" s="2">
        <f t="shared" si="5"/>
        <v>0.1975</v>
      </c>
      <c r="D61">
        <f t="shared" si="7"/>
        <v>0.110158227848101</v>
      </c>
      <c r="E61" s="17">
        <v>0.05</v>
      </c>
      <c r="F61" s="17">
        <v>2.95</v>
      </c>
      <c r="G61" s="4">
        <f t="shared" si="6"/>
        <v>0.0873417721518987</v>
      </c>
      <c r="H61" s="18"/>
      <c r="I61" s="6"/>
      <c r="J61" s="14">
        <v>45919</v>
      </c>
    </row>
    <row r="62" spans="1:11">
      <c r="A62" s="16">
        <v>0.05</v>
      </c>
      <c r="B62" s="16">
        <v>3</v>
      </c>
      <c r="C62" s="2">
        <f t="shared" si="5"/>
        <v>0.2</v>
      </c>
      <c r="D62">
        <f t="shared" si="7"/>
        <v>0.1125</v>
      </c>
      <c r="E62" s="17">
        <v>0.05</v>
      </c>
      <c r="F62" s="17">
        <v>3</v>
      </c>
      <c r="G62" s="4">
        <f t="shared" si="6"/>
        <v>0.0875</v>
      </c>
      <c r="H62" s="18"/>
      <c r="I62" s="6"/>
      <c r="J62" s="14">
        <v>45926</v>
      </c>
      <c r="K62" s="5">
        <v>1.6</v>
      </c>
    </row>
    <row r="63" spans="1:11">
      <c r="A63" s="16">
        <v>0.05</v>
      </c>
      <c r="B63" s="16">
        <v>3.05</v>
      </c>
      <c r="C63" s="2">
        <f t="shared" si="5"/>
        <v>0.2025</v>
      </c>
      <c r="D63">
        <f t="shared" si="7"/>
        <v>0.114845679012346</v>
      </c>
      <c r="E63" s="17">
        <v>0.05</v>
      </c>
      <c r="F63" s="17">
        <v>3.05</v>
      </c>
      <c r="G63" s="4">
        <f t="shared" si="6"/>
        <v>0.0876543209876543</v>
      </c>
      <c r="H63" s="18"/>
      <c r="I63" s="6"/>
      <c r="J63" s="14">
        <v>45933</v>
      </c>
    </row>
  </sheetData>
  <sheetProtection formatCells="0" insertHyperlinks="0" autoFilter="0"/>
  <mergeCells count="3">
    <mergeCell ref="J1:K1"/>
    <mergeCell ref="A2:C2"/>
    <mergeCell ref="E2:G2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3"/>
  <sheetViews>
    <sheetView tabSelected="1" topLeftCell="M3" workbookViewId="0">
      <selection activeCell="M3" sqref="M3"/>
    </sheetView>
  </sheetViews>
  <sheetFormatPr defaultColWidth="9" defaultRowHeight="13.5"/>
  <cols>
    <col min="1" max="2" width="9" style="1"/>
    <col min="3" max="3" width="18.75" style="2" customWidth="1"/>
    <col min="4" max="4" width="9.25" customWidth="1"/>
    <col min="5" max="6" width="9" style="3"/>
    <col min="7" max="7" width="12.625" style="4"/>
    <col min="8" max="8" width="12.625"/>
    <col min="9" max="9" width="14.875" customWidth="1"/>
    <col min="10" max="10" width="15.625" style="5" customWidth="1"/>
    <col min="11" max="11" width="15" style="5" customWidth="1"/>
    <col min="12" max="12" width="12.5" customWidth="1"/>
    <col min="13" max="13" width="119" customWidth="1"/>
  </cols>
  <sheetData>
    <row r="1" spans="1:19">
      <c r="H1" t="s">
        <v>0</v>
      </c>
      <c r="I1" s="6" t="s">
        <v>1</v>
      </c>
      <c r="J1" s="7" t="s">
        <v>2</v>
      </c>
      <c r="K1" s="7"/>
      <c r="L1" s="6" t="s">
        <v>25</v>
      </c>
    </row>
    <row r="2" spans="1:19">
      <c r="A2" s="8" t="s">
        <v>26</v>
      </c>
      <c r="B2" s="8"/>
      <c r="C2" s="9"/>
      <c r="D2" s="10"/>
      <c r="E2" s="11" t="s">
        <v>27</v>
      </c>
      <c r="F2" s="11"/>
      <c r="G2" s="12"/>
      <c r="H2" t="s">
        <v>5</v>
      </c>
      <c r="I2" s="13">
        <v>1</v>
      </c>
      <c r="J2" s="14">
        <v>45611</v>
      </c>
      <c r="K2" s="5">
        <v>0.05</v>
      </c>
      <c r="L2" s="6" t="s">
        <v>28</v>
      </c>
    </row>
    <row r="3" ht="18.75" spans="1:19">
      <c r="A3" s="1" t="s">
        <v>29</v>
      </c>
      <c r="B3" s="1" t="s">
        <v>30</v>
      </c>
      <c r="C3" s="2" t="s">
        <v>31</v>
      </c>
      <c r="D3" s="6" t="s">
        <v>10</v>
      </c>
      <c r="E3" s="3" t="s">
        <v>29</v>
      </c>
      <c r="F3" s="3" t="s">
        <v>30</v>
      </c>
      <c r="G3" s="4" t="s">
        <v>32</v>
      </c>
      <c r="I3" s="6" t="s">
        <v>12</v>
      </c>
      <c r="J3" s="14">
        <v>45618</v>
      </c>
      <c r="K3" s="5">
        <v>0.1</v>
      </c>
      <c r="M3" s="15" t="s">
        <v>33</v>
      </c>
    </row>
    <row r="4" ht="14.25" spans="1:19">
      <c r="A4" s="16">
        <v>0</v>
      </c>
      <c r="B4" s="16">
        <v>0.1</v>
      </c>
      <c r="C4" s="2">
        <f>A4+B4</f>
        <v>0.1</v>
      </c>
      <c r="D4">
        <f t="shared" ref="D4:D63" si="0">C4-G4</f>
        <v>0.00909090909090909</v>
      </c>
      <c r="E4" s="17">
        <f>A4</f>
        <v>0</v>
      </c>
      <c r="F4" s="17">
        <v>0.1</v>
      </c>
      <c r="G4" s="4">
        <f>F4/(1+I$2*F4)</f>
        <v>0.0909090909090909</v>
      </c>
      <c r="H4" s="18">
        <f t="shared" ref="H4:H38" si="1">G4/C4</f>
        <v>0.909090909090909</v>
      </c>
      <c r="I4" s="6">
        <f>(F4/(1+I$2*F4))/(F4/(1+I$2*F4))*F4</f>
        <v>0.1</v>
      </c>
      <c r="J4" s="14">
        <v>45625</v>
      </c>
      <c r="K4" s="5">
        <v>0.15</v>
      </c>
      <c r="M4" s="19" t="s">
        <v>34</v>
      </c>
    </row>
    <row r="5" spans="1:19">
      <c r="A5" s="16">
        <v>0</v>
      </c>
      <c r="B5" s="16">
        <v>0.15</v>
      </c>
      <c r="C5" s="2">
        <f t="shared" ref="C5:C36" si="2">A5+B5</f>
        <v>0.15</v>
      </c>
      <c r="D5">
        <f t="shared" si="0"/>
        <v>0.0195652173913043</v>
      </c>
      <c r="E5" s="17">
        <f t="shared" ref="E5:E36" si="3">A5</f>
        <v>0</v>
      </c>
      <c r="F5" s="17">
        <v>0.15</v>
      </c>
      <c r="G5" s="4">
        <f t="shared" ref="G5:G36" si="4">F5/(1+I$2*F5)</f>
        <v>0.130434782608696</v>
      </c>
      <c r="H5" s="18">
        <f t="shared" si="1"/>
        <v>0.869565217391304</v>
      </c>
      <c r="I5" s="6">
        <f t="shared" ref="I5:I49" si="5">(F5/(1+I$2*F5))/(F5/(1+I$2*F5))*F5</f>
        <v>0.15</v>
      </c>
      <c r="J5" s="14">
        <v>45632</v>
      </c>
      <c r="K5" s="5">
        <v>0.2</v>
      </c>
    </row>
    <row r="6" ht="14.25" spans="1:19">
      <c r="A6" s="16">
        <v>0</v>
      </c>
      <c r="B6" s="16">
        <v>0.2</v>
      </c>
      <c r="C6" s="2">
        <f t="shared" si="2"/>
        <v>0.2</v>
      </c>
      <c r="D6">
        <f t="shared" si="0"/>
        <v>0.0333333333333333</v>
      </c>
      <c r="E6" s="17">
        <f t="shared" si="3"/>
        <v>0</v>
      </c>
      <c r="F6" s="17">
        <v>0.2</v>
      </c>
      <c r="G6" s="4">
        <f t="shared" si="4"/>
        <v>0.166666666666667</v>
      </c>
      <c r="H6" s="18">
        <f t="shared" si="1"/>
        <v>0.833333333333333</v>
      </c>
      <c r="I6" s="6">
        <f t="shared" si="5"/>
        <v>0.2</v>
      </c>
      <c r="J6" s="14">
        <v>45639</v>
      </c>
      <c r="K6" s="5">
        <v>0.25</v>
      </c>
      <c r="M6" s="19" t="s">
        <v>14</v>
      </c>
      <c r="N6" s="20" t="s">
        <v>15</v>
      </c>
      <c r="O6" s="13"/>
      <c r="P6" s="13"/>
      <c r="Q6" s="13"/>
      <c r="R6" s="13"/>
      <c r="S6" s="13"/>
    </row>
    <row r="7" spans="1:19">
      <c r="A7" s="16">
        <v>0.01</v>
      </c>
      <c r="B7" s="16">
        <v>0.25</v>
      </c>
      <c r="C7" s="2">
        <f t="shared" si="2"/>
        <v>0.26</v>
      </c>
      <c r="D7">
        <f t="shared" si="0"/>
        <v>0.06</v>
      </c>
      <c r="E7" s="17">
        <f t="shared" si="3"/>
        <v>0.01</v>
      </c>
      <c r="F7" s="17">
        <v>0.25</v>
      </c>
      <c r="G7" s="4">
        <f t="shared" si="4"/>
        <v>0.2</v>
      </c>
      <c r="H7" s="18">
        <f t="shared" si="1"/>
        <v>0.769230769230769</v>
      </c>
      <c r="I7" s="6">
        <f t="shared" si="5"/>
        <v>0.25</v>
      </c>
      <c r="J7" s="14">
        <v>45646</v>
      </c>
      <c r="K7" s="5">
        <v>0.3</v>
      </c>
      <c r="N7" s="13"/>
      <c r="O7" s="13"/>
      <c r="P7" s="13"/>
      <c r="Q7" s="13"/>
      <c r="R7" s="13"/>
      <c r="S7" s="13"/>
    </row>
    <row r="8" ht="39" spans="1:19">
      <c r="A8" s="16">
        <v>0</v>
      </c>
      <c r="B8" s="16">
        <v>0.3</v>
      </c>
      <c r="C8" s="2">
        <f t="shared" si="2"/>
        <v>0.3</v>
      </c>
      <c r="D8">
        <f t="shared" si="0"/>
        <v>0.0692307692307692</v>
      </c>
      <c r="E8" s="17">
        <f t="shared" si="3"/>
        <v>0</v>
      </c>
      <c r="F8" s="17">
        <v>0.3</v>
      </c>
      <c r="G8" s="4">
        <f t="shared" si="4"/>
        <v>0.230769230769231</v>
      </c>
      <c r="H8" s="18">
        <f t="shared" si="1"/>
        <v>0.769230769230769</v>
      </c>
      <c r="I8" s="6">
        <f t="shared" si="5"/>
        <v>0.3</v>
      </c>
      <c r="J8" s="14">
        <v>45653</v>
      </c>
      <c r="K8" s="5">
        <v>0.35</v>
      </c>
      <c r="M8" s="15" t="str">
        <f>_xlfn.DISPIMG("ID_1CD860229186435C8AA99115BB0589DF",1)</f>
        <v>=DISPIMG("ID_1CD860229186435C8AA99115BB0589DF",1)</v>
      </c>
      <c r="N8" s="20" t="s">
        <v>35</v>
      </c>
      <c r="O8" s="13"/>
      <c r="P8" s="13"/>
      <c r="Q8" s="13"/>
      <c r="R8" s="13"/>
      <c r="S8" s="13"/>
    </row>
    <row r="9" spans="1:19">
      <c r="A9" s="16">
        <v>0</v>
      </c>
      <c r="B9" s="16">
        <v>0.35</v>
      </c>
      <c r="C9" s="2">
        <f t="shared" si="2"/>
        <v>0.35</v>
      </c>
      <c r="D9">
        <f t="shared" si="0"/>
        <v>0.0907407407407407</v>
      </c>
      <c r="E9" s="17">
        <f t="shared" si="3"/>
        <v>0</v>
      </c>
      <c r="F9" s="17">
        <v>0.35</v>
      </c>
      <c r="G9" s="4">
        <f t="shared" si="4"/>
        <v>0.259259259259259</v>
      </c>
      <c r="H9" s="18">
        <f t="shared" si="1"/>
        <v>0.740740740740741</v>
      </c>
      <c r="I9" s="6">
        <f t="shared" si="5"/>
        <v>0.35</v>
      </c>
      <c r="J9" s="14">
        <v>45660</v>
      </c>
      <c r="K9" s="5">
        <v>0.4</v>
      </c>
    </row>
    <row r="10" ht="18.75" spans="1:19">
      <c r="A10" s="16">
        <v>0</v>
      </c>
      <c r="B10" s="16">
        <v>0.4</v>
      </c>
      <c r="C10" s="2">
        <f t="shared" si="2"/>
        <v>0.4</v>
      </c>
      <c r="D10">
        <f t="shared" si="0"/>
        <v>0.114285714285714</v>
      </c>
      <c r="E10" s="17">
        <f t="shared" si="3"/>
        <v>0</v>
      </c>
      <c r="F10" s="17">
        <v>0.4</v>
      </c>
      <c r="G10" s="4">
        <f t="shared" si="4"/>
        <v>0.285714285714286</v>
      </c>
      <c r="H10" s="18">
        <f t="shared" si="1"/>
        <v>0.714285714285714</v>
      </c>
      <c r="I10" s="6">
        <f t="shared" si="5"/>
        <v>0.4</v>
      </c>
      <c r="J10" s="14">
        <v>45667</v>
      </c>
      <c r="K10" s="5">
        <v>0.45</v>
      </c>
      <c r="M10" s="21" t="s">
        <v>17</v>
      </c>
    </row>
    <row r="11" spans="1:19">
      <c r="A11" s="16">
        <v>0</v>
      </c>
      <c r="B11" s="16">
        <v>0.45</v>
      </c>
      <c r="C11" s="2">
        <f t="shared" si="2"/>
        <v>0.45</v>
      </c>
      <c r="D11">
        <f t="shared" si="0"/>
        <v>0.139655172413793</v>
      </c>
      <c r="E11" s="17">
        <f t="shared" si="3"/>
        <v>0</v>
      </c>
      <c r="F11" s="17">
        <v>0.45</v>
      </c>
      <c r="G11" s="4">
        <f t="shared" si="4"/>
        <v>0.310344827586207</v>
      </c>
      <c r="H11" s="18">
        <f t="shared" si="1"/>
        <v>0.689655172413793</v>
      </c>
      <c r="I11" s="6">
        <f t="shared" si="5"/>
        <v>0.45</v>
      </c>
      <c r="J11" s="14">
        <v>45674</v>
      </c>
      <c r="K11" s="5">
        <v>0.5</v>
      </c>
    </row>
    <row r="12" ht="14.25" spans="1:19">
      <c r="A12" s="16">
        <v>0</v>
      </c>
      <c r="B12" s="16">
        <v>0.5</v>
      </c>
      <c r="C12" s="2">
        <f t="shared" si="2"/>
        <v>0.5</v>
      </c>
      <c r="D12">
        <f t="shared" si="0"/>
        <v>0.166666666666667</v>
      </c>
      <c r="E12" s="17">
        <f t="shared" si="3"/>
        <v>0</v>
      </c>
      <c r="F12" s="17">
        <v>0.5</v>
      </c>
      <c r="G12" s="4">
        <f t="shared" si="4"/>
        <v>0.333333333333333</v>
      </c>
      <c r="H12" s="18">
        <f t="shared" si="1"/>
        <v>0.666666666666667</v>
      </c>
      <c r="I12" s="6">
        <f t="shared" si="5"/>
        <v>0.5</v>
      </c>
      <c r="J12" s="14">
        <v>45681</v>
      </c>
      <c r="K12" s="5">
        <v>0.55</v>
      </c>
      <c r="M12" s="19" t="s">
        <v>18</v>
      </c>
    </row>
    <row r="13" spans="1:19">
      <c r="A13" s="16">
        <v>0</v>
      </c>
      <c r="B13" s="16">
        <v>0.55</v>
      </c>
      <c r="C13" s="2">
        <f t="shared" si="2"/>
        <v>0.55</v>
      </c>
      <c r="D13">
        <f t="shared" si="0"/>
        <v>0.195161290322581</v>
      </c>
      <c r="E13" s="17">
        <f t="shared" si="3"/>
        <v>0</v>
      </c>
      <c r="F13" s="17">
        <v>0.55</v>
      </c>
      <c r="G13" s="4">
        <f t="shared" si="4"/>
        <v>0.354838709677419</v>
      </c>
      <c r="H13" s="18">
        <f t="shared" si="1"/>
        <v>0.645161290322581</v>
      </c>
      <c r="I13" s="6">
        <f t="shared" si="5"/>
        <v>0.55</v>
      </c>
      <c r="J13" s="14">
        <v>45688</v>
      </c>
      <c r="K13" s="5">
        <v>0.6</v>
      </c>
    </row>
    <row r="14" ht="14.25" spans="1:19">
      <c r="A14" s="16">
        <v>0</v>
      </c>
      <c r="B14" s="16">
        <v>0.6</v>
      </c>
      <c r="C14" s="2">
        <f t="shared" si="2"/>
        <v>0.6</v>
      </c>
      <c r="D14">
        <f t="shared" si="0"/>
        <v>0.225</v>
      </c>
      <c r="E14" s="17">
        <f t="shared" si="3"/>
        <v>0</v>
      </c>
      <c r="F14" s="17">
        <v>0.6</v>
      </c>
      <c r="G14" s="4">
        <f t="shared" si="4"/>
        <v>0.375</v>
      </c>
      <c r="H14" s="18">
        <f t="shared" si="1"/>
        <v>0.625</v>
      </c>
      <c r="I14" s="6">
        <f t="shared" si="5"/>
        <v>0.6</v>
      </c>
      <c r="J14" s="14">
        <v>45695</v>
      </c>
      <c r="K14" s="5">
        <v>0.65</v>
      </c>
      <c r="M14" s="22" t="s">
        <v>19</v>
      </c>
    </row>
    <row r="15" ht="14.25" spans="1:19">
      <c r="A15" s="16">
        <v>0</v>
      </c>
      <c r="B15" s="16">
        <v>0.65</v>
      </c>
      <c r="C15" s="2">
        <f t="shared" si="2"/>
        <v>0.65</v>
      </c>
      <c r="D15">
        <f t="shared" si="0"/>
        <v>0.256060606060606</v>
      </c>
      <c r="E15" s="17">
        <f t="shared" si="3"/>
        <v>0</v>
      </c>
      <c r="F15" s="17">
        <v>0.65</v>
      </c>
      <c r="G15" s="4">
        <f t="shared" si="4"/>
        <v>0.393939393939394</v>
      </c>
      <c r="H15" s="18">
        <f t="shared" si="1"/>
        <v>0.606060606060606</v>
      </c>
      <c r="I15" s="6">
        <f t="shared" si="5"/>
        <v>0.65</v>
      </c>
      <c r="J15" s="14">
        <v>45702</v>
      </c>
      <c r="K15" s="5">
        <v>0.7</v>
      </c>
      <c r="M15" s="22" t="s">
        <v>36</v>
      </c>
    </row>
    <row r="16" ht="14.25" spans="1:19">
      <c r="A16" s="16">
        <v>0</v>
      </c>
      <c r="B16" s="16">
        <v>0.7</v>
      </c>
      <c r="C16" s="2">
        <f t="shared" si="2"/>
        <v>0.7</v>
      </c>
      <c r="D16">
        <f t="shared" si="0"/>
        <v>0.288235294117647</v>
      </c>
      <c r="E16" s="17">
        <f t="shared" si="3"/>
        <v>0</v>
      </c>
      <c r="F16" s="17">
        <v>0.7</v>
      </c>
      <c r="G16" s="4">
        <f t="shared" si="4"/>
        <v>0.411764705882353</v>
      </c>
      <c r="H16" s="18">
        <f t="shared" si="1"/>
        <v>0.588235294117647</v>
      </c>
      <c r="I16" s="6">
        <f t="shared" si="5"/>
        <v>0.7</v>
      </c>
      <c r="J16" s="14">
        <v>45709</v>
      </c>
      <c r="K16" s="5">
        <v>0.75</v>
      </c>
      <c r="M16" s="22" t="s">
        <v>21</v>
      </c>
    </row>
    <row r="17" ht="14.25" spans="1:13">
      <c r="A17" s="16">
        <v>0</v>
      </c>
      <c r="B17" s="16">
        <v>0.75</v>
      </c>
      <c r="C17" s="2">
        <f t="shared" si="2"/>
        <v>0.75</v>
      </c>
      <c r="D17">
        <f t="shared" si="0"/>
        <v>0.321428571428571</v>
      </c>
      <c r="E17" s="17">
        <f t="shared" si="3"/>
        <v>0</v>
      </c>
      <c r="F17" s="17">
        <v>0.75</v>
      </c>
      <c r="G17" s="4">
        <f t="shared" si="4"/>
        <v>0.428571428571429</v>
      </c>
      <c r="H17" s="18">
        <f t="shared" si="1"/>
        <v>0.571428571428571</v>
      </c>
      <c r="I17" s="6">
        <f t="shared" si="5"/>
        <v>0.75</v>
      </c>
      <c r="J17" s="14">
        <v>45716</v>
      </c>
      <c r="K17" s="5">
        <v>0.8</v>
      </c>
      <c r="M17" s="22" t="s">
        <v>22</v>
      </c>
    </row>
    <row r="18" ht="64.5" customHeight="1" spans="1:13">
      <c r="A18" s="16">
        <v>0</v>
      </c>
      <c r="B18" s="16">
        <v>0.8</v>
      </c>
      <c r="C18" s="2">
        <f t="shared" si="2"/>
        <v>0.8</v>
      </c>
      <c r="D18">
        <f t="shared" si="0"/>
        <v>0.355555555555556</v>
      </c>
      <c r="E18" s="17">
        <f t="shared" si="3"/>
        <v>0</v>
      </c>
      <c r="F18" s="17">
        <v>0.8</v>
      </c>
      <c r="G18" s="4">
        <f t="shared" si="4"/>
        <v>0.444444444444444</v>
      </c>
      <c r="H18" s="18">
        <f t="shared" si="1"/>
        <v>0.555555555555556</v>
      </c>
      <c r="I18" s="6">
        <f t="shared" si="5"/>
        <v>0.8</v>
      </c>
      <c r="J18" s="14">
        <v>45723</v>
      </c>
      <c r="K18" s="5">
        <v>0.85</v>
      </c>
      <c r="M18" s="23" t="str">
        <f>_xlfn.DISPIMG("ID_1A9C3641B28F4F3CB70406C5FF0D00FE",1)</f>
        <v>=DISPIMG("ID_1A9C3641B28F4F3CB70406C5FF0D00FE",1)</v>
      </c>
    </row>
    <row r="19" spans="1:13">
      <c r="A19" s="16">
        <v>0</v>
      </c>
      <c r="B19" s="16">
        <v>0.85</v>
      </c>
      <c r="C19" s="2">
        <f t="shared" si="2"/>
        <v>0.85</v>
      </c>
      <c r="D19">
        <f t="shared" si="0"/>
        <v>0.390540540540541</v>
      </c>
      <c r="E19" s="17">
        <f t="shared" si="3"/>
        <v>0</v>
      </c>
      <c r="F19" s="17">
        <v>0.85</v>
      </c>
      <c r="G19" s="4">
        <f t="shared" si="4"/>
        <v>0.459459459459459</v>
      </c>
      <c r="H19" s="18">
        <f t="shared" si="1"/>
        <v>0.540540540540541</v>
      </c>
      <c r="I19" s="6">
        <f t="shared" si="5"/>
        <v>0.85</v>
      </c>
      <c r="J19" s="14">
        <v>45730</v>
      </c>
      <c r="K19" s="5">
        <v>0.9</v>
      </c>
    </row>
    <row r="20" ht="37.5" spans="1:13">
      <c r="A20" s="16">
        <v>0</v>
      </c>
      <c r="B20" s="16">
        <v>0.9</v>
      </c>
      <c r="C20" s="2">
        <f t="shared" si="2"/>
        <v>0.9</v>
      </c>
      <c r="D20">
        <f t="shared" si="0"/>
        <v>0.426315789473684</v>
      </c>
      <c r="E20" s="17">
        <f t="shared" si="3"/>
        <v>0</v>
      </c>
      <c r="F20" s="17">
        <v>0.9</v>
      </c>
      <c r="G20" s="4">
        <f t="shared" si="4"/>
        <v>0.473684210526316</v>
      </c>
      <c r="H20" s="18">
        <f t="shared" si="1"/>
        <v>0.526315789473684</v>
      </c>
      <c r="I20" s="6">
        <f t="shared" si="5"/>
        <v>0.9</v>
      </c>
      <c r="J20" s="14">
        <v>45737</v>
      </c>
      <c r="K20" s="5">
        <v>0.95</v>
      </c>
      <c r="M20" s="22" t="s">
        <v>23</v>
      </c>
    </row>
    <row r="21" spans="1:13">
      <c r="A21" s="16">
        <v>0</v>
      </c>
      <c r="B21" s="16">
        <v>0.95</v>
      </c>
      <c r="C21" s="2">
        <f t="shared" si="2"/>
        <v>0.95</v>
      </c>
      <c r="D21">
        <f t="shared" si="0"/>
        <v>0.462820512820513</v>
      </c>
      <c r="E21" s="17">
        <f t="shared" si="3"/>
        <v>0</v>
      </c>
      <c r="F21" s="17">
        <v>0.95</v>
      </c>
      <c r="G21" s="4">
        <f t="shared" si="4"/>
        <v>0.487179487179487</v>
      </c>
      <c r="H21" s="18">
        <f t="shared" si="1"/>
        <v>0.512820512820513</v>
      </c>
      <c r="I21" s="6">
        <f t="shared" si="5"/>
        <v>0.95</v>
      </c>
      <c r="J21" s="14">
        <v>45744</v>
      </c>
      <c r="K21" s="5">
        <v>1</v>
      </c>
    </row>
    <row r="22" ht="33" spans="1:13">
      <c r="A22" s="16">
        <v>0</v>
      </c>
      <c r="B22" s="16">
        <v>1</v>
      </c>
      <c r="C22" s="2">
        <f t="shared" si="2"/>
        <v>1</v>
      </c>
      <c r="D22">
        <f t="shared" si="0"/>
        <v>0.5</v>
      </c>
      <c r="E22" s="17">
        <f t="shared" si="3"/>
        <v>0</v>
      </c>
      <c r="F22" s="17">
        <v>1</v>
      </c>
      <c r="G22" s="4">
        <f t="shared" si="4"/>
        <v>0.5</v>
      </c>
      <c r="H22" s="18">
        <f t="shared" si="1"/>
        <v>0.5</v>
      </c>
      <c r="I22" s="6">
        <f t="shared" si="5"/>
        <v>1</v>
      </c>
      <c r="M22" s="22" t="s">
        <v>24</v>
      </c>
    </row>
    <row r="23" spans="1:13">
      <c r="A23" s="16">
        <v>0</v>
      </c>
      <c r="B23" s="16">
        <v>1.05</v>
      </c>
      <c r="C23" s="2">
        <f t="shared" si="2"/>
        <v>1.05</v>
      </c>
      <c r="D23">
        <f t="shared" si="0"/>
        <v>0.537804878048781</v>
      </c>
      <c r="E23" s="17">
        <f t="shared" si="3"/>
        <v>0</v>
      </c>
      <c r="F23" s="17">
        <v>1.05</v>
      </c>
      <c r="G23" s="4">
        <f t="shared" si="4"/>
        <v>0.51219512195122</v>
      </c>
      <c r="H23" s="18">
        <f t="shared" si="1"/>
        <v>0.48780487804878</v>
      </c>
      <c r="I23" s="6">
        <f t="shared" si="5"/>
        <v>1.05</v>
      </c>
    </row>
    <row r="24" spans="1:13">
      <c r="A24" s="16">
        <v>0</v>
      </c>
      <c r="B24" s="16">
        <v>1.1</v>
      </c>
      <c r="C24" s="2">
        <f t="shared" si="2"/>
        <v>1.1</v>
      </c>
      <c r="D24">
        <f t="shared" si="0"/>
        <v>0.576190476190476</v>
      </c>
      <c r="E24" s="17">
        <f t="shared" si="3"/>
        <v>0</v>
      </c>
      <c r="F24" s="17">
        <v>1.1</v>
      </c>
      <c r="G24" s="4">
        <f t="shared" si="4"/>
        <v>0.523809523809524</v>
      </c>
      <c r="H24" s="18">
        <f t="shared" si="1"/>
        <v>0.476190476190476</v>
      </c>
      <c r="I24" s="6">
        <f t="shared" si="5"/>
        <v>1.1</v>
      </c>
    </row>
    <row r="25" spans="1:13">
      <c r="A25" s="16">
        <v>0</v>
      </c>
      <c r="B25" s="16">
        <v>1.15</v>
      </c>
      <c r="C25" s="2">
        <f t="shared" si="2"/>
        <v>1.15</v>
      </c>
      <c r="D25">
        <f t="shared" si="0"/>
        <v>0.615116279069767</v>
      </c>
      <c r="E25" s="17">
        <f t="shared" si="3"/>
        <v>0</v>
      </c>
      <c r="F25" s="17">
        <v>1.15</v>
      </c>
      <c r="G25" s="4">
        <f t="shared" si="4"/>
        <v>0.534883720930233</v>
      </c>
      <c r="H25" s="18">
        <f t="shared" si="1"/>
        <v>0.465116279069767</v>
      </c>
      <c r="I25" s="6">
        <f t="shared" si="5"/>
        <v>1.15</v>
      </c>
    </row>
    <row r="26" spans="1:13">
      <c r="A26" s="16">
        <v>0</v>
      </c>
      <c r="B26" s="16">
        <v>1.2</v>
      </c>
      <c r="C26" s="2">
        <f t="shared" si="2"/>
        <v>1.2</v>
      </c>
      <c r="D26">
        <f t="shared" si="0"/>
        <v>0.654545454545455</v>
      </c>
      <c r="E26" s="17">
        <f t="shared" si="3"/>
        <v>0</v>
      </c>
      <c r="F26" s="17">
        <v>1.2</v>
      </c>
      <c r="G26" s="4">
        <f t="shared" si="4"/>
        <v>0.545454545454545</v>
      </c>
      <c r="H26" s="18">
        <f t="shared" si="1"/>
        <v>0.454545454545455</v>
      </c>
      <c r="I26" s="6">
        <f t="shared" si="5"/>
        <v>1.2</v>
      </c>
    </row>
    <row r="27" spans="1:13">
      <c r="A27" s="16">
        <v>0</v>
      </c>
      <c r="B27" s="16">
        <v>1.25</v>
      </c>
      <c r="C27" s="2">
        <f t="shared" si="2"/>
        <v>1.25</v>
      </c>
      <c r="D27">
        <f t="shared" si="0"/>
        <v>0.694444444444444</v>
      </c>
      <c r="E27" s="17">
        <f t="shared" si="3"/>
        <v>0</v>
      </c>
      <c r="F27" s="17">
        <v>1.25</v>
      </c>
      <c r="G27" s="4">
        <f t="shared" si="4"/>
        <v>0.555555555555556</v>
      </c>
      <c r="H27" s="18">
        <f t="shared" si="1"/>
        <v>0.444444444444444</v>
      </c>
      <c r="I27" s="6">
        <f t="shared" si="5"/>
        <v>1.25</v>
      </c>
    </row>
    <row r="28" spans="1:13">
      <c r="A28" s="16">
        <v>0</v>
      </c>
      <c r="B28" s="16">
        <v>1.3</v>
      </c>
      <c r="C28" s="2">
        <f t="shared" si="2"/>
        <v>1.3</v>
      </c>
      <c r="D28">
        <f t="shared" si="0"/>
        <v>0.734782608695652</v>
      </c>
      <c r="E28" s="17">
        <f t="shared" si="3"/>
        <v>0</v>
      </c>
      <c r="F28" s="17">
        <v>1.3</v>
      </c>
      <c r="G28" s="4">
        <f t="shared" si="4"/>
        <v>0.565217391304348</v>
      </c>
      <c r="H28" s="18">
        <f t="shared" si="1"/>
        <v>0.434782608695652</v>
      </c>
      <c r="I28" s="6">
        <f t="shared" si="5"/>
        <v>1.3</v>
      </c>
    </row>
    <row r="29" spans="1:13">
      <c r="A29" s="16">
        <v>0</v>
      </c>
      <c r="B29" s="16">
        <v>1.35</v>
      </c>
      <c r="C29" s="2">
        <f t="shared" si="2"/>
        <v>1.35</v>
      </c>
      <c r="D29">
        <f t="shared" si="0"/>
        <v>0.775531914893617</v>
      </c>
      <c r="E29" s="17">
        <f t="shared" si="3"/>
        <v>0</v>
      </c>
      <c r="F29" s="17">
        <v>1.35</v>
      </c>
      <c r="G29" s="4">
        <f t="shared" si="4"/>
        <v>0.574468085106383</v>
      </c>
      <c r="H29" s="18">
        <f t="shared" si="1"/>
        <v>0.425531914893617</v>
      </c>
      <c r="I29" s="6">
        <f t="shared" si="5"/>
        <v>1.35</v>
      </c>
    </row>
    <row r="30" spans="1:13">
      <c r="A30" s="16">
        <v>0</v>
      </c>
      <c r="B30" s="16">
        <v>1.4</v>
      </c>
      <c r="C30" s="2">
        <f t="shared" si="2"/>
        <v>1.4</v>
      </c>
      <c r="D30">
        <f t="shared" si="0"/>
        <v>0.816666666666667</v>
      </c>
      <c r="E30" s="17">
        <f t="shared" si="3"/>
        <v>0</v>
      </c>
      <c r="F30" s="17">
        <v>1.4</v>
      </c>
      <c r="G30" s="4">
        <f t="shared" si="4"/>
        <v>0.583333333333333</v>
      </c>
      <c r="H30" s="18">
        <f t="shared" si="1"/>
        <v>0.416666666666667</v>
      </c>
      <c r="I30" s="6">
        <f t="shared" si="5"/>
        <v>1.4</v>
      </c>
    </row>
    <row r="31" spans="1:13">
      <c r="A31" s="16">
        <v>0</v>
      </c>
      <c r="B31" s="16">
        <v>1.45</v>
      </c>
      <c r="C31" s="2">
        <f t="shared" si="2"/>
        <v>1.45</v>
      </c>
      <c r="D31">
        <f t="shared" si="0"/>
        <v>0.858163265306122</v>
      </c>
      <c r="E31" s="17">
        <f t="shared" si="3"/>
        <v>0</v>
      </c>
      <c r="F31" s="17">
        <v>1.45</v>
      </c>
      <c r="G31" s="4">
        <f t="shared" si="4"/>
        <v>0.591836734693878</v>
      </c>
      <c r="H31" s="18">
        <f t="shared" si="1"/>
        <v>0.408163265306122</v>
      </c>
      <c r="I31" s="6">
        <f t="shared" si="5"/>
        <v>1.45</v>
      </c>
    </row>
    <row r="32" spans="1:13">
      <c r="A32" s="16">
        <v>0</v>
      </c>
      <c r="B32" s="16">
        <v>1.5</v>
      </c>
      <c r="C32" s="2">
        <f t="shared" si="2"/>
        <v>1.5</v>
      </c>
      <c r="D32">
        <f t="shared" si="0"/>
        <v>0.9</v>
      </c>
      <c r="E32" s="17">
        <f t="shared" si="3"/>
        <v>0</v>
      </c>
      <c r="F32" s="17">
        <v>1.5</v>
      </c>
      <c r="G32" s="4">
        <f t="shared" si="4"/>
        <v>0.6</v>
      </c>
      <c r="H32" s="18">
        <f t="shared" si="1"/>
        <v>0.4</v>
      </c>
      <c r="I32" s="6">
        <f t="shared" si="5"/>
        <v>1.5</v>
      </c>
    </row>
    <row r="33" spans="1:14">
      <c r="A33" s="16">
        <v>0</v>
      </c>
      <c r="B33" s="16">
        <v>1.55</v>
      </c>
      <c r="C33" s="2">
        <f t="shared" si="2"/>
        <v>1.55</v>
      </c>
      <c r="D33">
        <f t="shared" si="0"/>
        <v>0.942156862745098</v>
      </c>
      <c r="E33" s="17">
        <f t="shared" si="3"/>
        <v>0</v>
      </c>
      <c r="F33" s="17">
        <v>1.55</v>
      </c>
      <c r="G33" s="4">
        <f t="shared" si="4"/>
        <v>0.607843137254902</v>
      </c>
      <c r="H33" s="18">
        <f t="shared" si="1"/>
        <v>0.392156862745098</v>
      </c>
      <c r="I33" s="6">
        <f t="shared" si="5"/>
        <v>1.55</v>
      </c>
    </row>
    <row r="34" spans="1:14">
      <c r="A34" s="16">
        <v>0</v>
      </c>
      <c r="B34" s="16">
        <v>1.6</v>
      </c>
      <c r="C34" s="2">
        <f t="shared" si="2"/>
        <v>1.6</v>
      </c>
      <c r="D34">
        <f t="shared" si="0"/>
        <v>0.984615384615385</v>
      </c>
      <c r="E34" s="17">
        <f t="shared" si="3"/>
        <v>0</v>
      </c>
      <c r="F34" s="17">
        <v>1.6</v>
      </c>
      <c r="G34" s="4">
        <f t="shared" si="4"/>
        <v>0.615384615384615</v>
      </c>
      <c r="H34" s="18">
        <f t="shared" si="1"/>
        <v>0.384615384615385</v>
      </c>
      <c r="I34" s="6">
        <f t="shared" si="5"/>
        <v>1.6</v>
      </c>
    </row>
    <row r="35" spans="1:14">
      <c r="A35" s="16">
        <v>0</v>
      </c>
      <c r="B35" s="16">
        <v>1.65</v>
      </c>
      <c r="C35" s="2">
        <f t="shared" si="2"/>
        <v>1.65</v>
      </c>
      <c r="D35">
        <f t="shared" si="0"/>
        <v>1.02735849056604</v>
      </c>
      <c r="E35" s="17">
        <f t="shared" si="3"/>
        <v>0</v>
      </c>
      <c r="F35" s="17">
        <v>1.65</v>
      </c>
      <c r="G35" s="4">
        <f t="shared" si="4"/>
        <v>0.622641509433962</v>
      </c>
      <c r="H35" s="18">
        <f t="shared" si="1"/>
        <v>0.377358490566038</v>
      </c>
      <c r="I35" s="6">
        <f t="shared" si="5"/>
        <v>1.65</v>
      </c>
    </row>
    <row r="36" spans="1:14">
      <c r="A36" s="16">
        <v>0</v>
      </c>
      <c r="B36" s="16">
        <v>1.7</v>
      </c>
      <c r="C36" s="2">
        <f t="shared" si="2"/>
        <v>1.7</v>
      </c>
      <c r="D36">
        <f t="shared" si="0"/>
        <v>1.07037037037037</v>
      </c>
      <c r="E36" s="17">
        <f t="shared" si="3"/>
        <v>0</v>
      </c>
      <c r="F36" s="17">
        <v>1.7</v>
      </c>
      <c r="G36" s="4">
        <f t="shared" si="4"/>
        <v>0.62962962962963</v>
      </c>
      <c r="H36" s="18">
        <f t="shared" si="1"/>
        <v>0.37037037037037</v>
      </c>
      <c r="I36" s="6">
        <f t="shared" si="5"/>
        <v>1.7</v>
      </c>
    </row>
    <row r="37" spans="1:14">
      <c r="A37" s="16">
        <v>0</v>
      </c>
      <c r="B37" s="16">
        <v>1.75</v>
      </c>
      <c r="C37" s="2">
        <f t="shared" ref="C37:C63" si="6">A37+B37</f>
        <v>1.75</v>
      </c>
      <c r="D37">
        <f t="shared" si="0"/>
        <v>1.11363636363636</v>
      </c>
      <c r="E37" s="17">
        <f t="shared" ref="E37:E63" si="7">A37</f>
        <v>0</v>
      </c>
      <c r="F37" s="17">
        <v>1.75</v>
      </c>
      <c r="G37" s="4">
        <f t="shared" ref="G37:G63" si="8">F37/(1+I$2*F37)</f>
        <v>0.636363636363636</v>
      </c>
      <c r="H37" s="18">
        <f t="shared" si="1"/>
        <v>0.363636363636364</v>
      </c>
      <c r="I37" s="6">
        <f t="shared" si="5"/>
        <v>1.75</v>
      </c>
    </row>
    <row r="38" spans="1:14">
      <c r="A38" s="16">
        <v>0</v>
      </c>
      <c r="B38" s="16">
        <v>1.8</v>
      </c>
      <c r="C38" s="2">
        <f t="shared" si="6"/>
        <v>1.8</v>
      </c>
      <c r="D38">
        <f t="shared" si="0"/>
        <v>1.15714285714286</v>
      </c>
      <c r="E38" s="17">
        <f t="shared" si="7"/>
        <v>0</v>
      </c>
      <c r="F38" s="17">
        <v>1.8</v>
      </c>
      <c r="G38" s="4">
        <f t="shared" si="8"/>
        <v>0.642857142857143</v>
      </c>
      <c r="H38" s="18">
        <f t="shared" si="1"/>
        <v>0.357142857142857</v>
      </c>
      <c r="I38" s="6">
        <f t="shared" si="5"/>
        <v>1.8</v>
      </c>
    </row>
    <row r="39" spans="1:14">
      <c r="A39" s="16">
        <v>0</v>
      </c>
      <c r="B39" s="16">
        <v>1.85</v>
      </c>
      <c r="C39" s="2">
        <f t="shared" si="6"/>
        <v>1.85</v>
      </c>
      <c r="D39">
        <f t="shared" si="0"/>
        <v>1.20087719298246</v>
      </c>
      <c r="E39" s="17">
        <f t="shared" si="7"/>
        <v>0</v>
      </c>
      <c r="F39" s="17">
        <v>1.85</v>
      </c>
      <c r="G39" s="4">
        <f t="shared" si="8"/>
        <v>0.649122807017544</v>
      </c>
      <c r="H39" s="18">
        <f t="shared" ref="H39:H49" si="9">G39/C39</f>
        <v>0.350877192982456</v>
      </c>
      <c r="I39" s="6">
        <f t="shared" si="5"/>
        <v>1.85</v>
      </c>
    </row>
    <row r="40" spans="1:14">
      <c r="A40" s="16">
        <v>0</v>
      </c>
      <c r="B40" s="16">
        <v>1.9</v>
      </c>
      <c r="C40" s="2">
        <f t="shared" si="6"/>
        <v>1.9</v>
      </c>
      <c r="D40">
        <f t="shared" si="0"/>
        <v>1.2448275862069</v>
      </c>
      <c r="E40" s="17">
        <f t="shared" si="7"/>
        <v>0</v>
      </c>
      <c r="F40" s="17">
        <v>1.9</v>
      </c>
      <c r="G40" s="4">
        <f t="shared" si="8"/>
        <v>0.655172413793103</v>
      </c>
      <c r="H40" s="18">
        <f t="shared" si="9"/>
        <v>0.344827586206897</v>
      </c>
      <c r="I40" s="6">
        <f t="shared" si="5"/>
        <v>1.9</v>
      </c>
    </row>
    <row r="41" spans="1:14">
      <c r="A41" s="16">
        <v>0</v>
      </c>
      <c r="B41" s="16">
        <v>1.95</v>
      </c>
      <c r="C41" s="2">
        <f t="shared" si="6"/>
        <v>1.95</v>
      </c>
      <c r="D41">
        <f t="shared" si="0"/>
        <v>1.28898305084746</v>
      </c>
      <c r="E41" s="17">
        <f t="shared" si="7"/>
        <v>0</v>
      </c>
      <c r="F41" s="17">
        <v>1.95</v>
      </c>
      <c r="G41" s="4">
        <f t="shared" si="8"/>
        <v>0.661016949152542</v>
      </c>
      <c r="H41" s="18">
        <f t="shared" si="9"/>
        <v>0.338983050847458</v>
      </c>
      <c r="I41" s="6">
        <f t="shared" si="5"/>
        <v>1.95</v>
      </c>
    </row>
    <row r="42" spans="1:14">
      <c r="A42" s="16">
        <v>0</v>
      </c>
      <c r="B42" s="16">
        <v>2</v>
      </c>
      <c r="C42" s="2">
        <f t="shared" si="6"/>
        <v>2</v>
      </c>
      <c r="D42">
        <f t="shared" si="0"/>
        <v>1.33333333333333</v>
      </c>
      <c r="E42" s="24">
        <f t="shared" si="7"/>
        <v>0</v>
      </c>
      <c r="F42" s="24">
        <v>2</v>
      </c>
      <c r="G42" s="4">
        <f t="shared" si="8"/>
        <v>0.666666666666667</v>
      </c>
      <c r="H42" s="25">
        <f t="shared" si="9"/>
        <v>0.333333333333333</v>
      </c>
      <c r="I42" s="20">
        <f t="shared" si="5"/>
        <v>2</v>
      </c>
    </row>
    <row r="43" spans="1:14">
      <c r="A43" s="16">
        <v>0</v>
      </c>
      <c r="B43" s="16">
        <v>2.05</v>
      </c>
      <c r="C43" s="2">
        <f t="shared" si="6"/>
        <v>2.05</v>
      </c>
      <c r="D43">
        <f t="shared" si="0"/>
        <v>1.37786885245902</v>
      </c>
      <c r="E43" s="17">
        <f t="shared" si="7"/>
        <v>0</v>
      </c>
      <c r="F43" s="17">
        <v>2.05</v>
      </c>
      <c r="G43" s="4">
        <f t="shared" si="8"/>
        <v>0.672131147540984</v>
      </c>
      <c r="H43" s="18">
        <f t="shared" si="9"/>
        <v>0.327868852459016</v>
      </c>
      <c r="I43" s="6">
        <f t="shared" si="5"/>
        <v>2.05</v>
      </c>
      <c r="N43">
        <v>28000</v>
      </c>
    </row>
    <row r="44" spans="1:14">
      <c r="A44" s="16">
        <v>0</v>
      </c>
      <c r="B44" s="16">
        <v>2.1</v>
      </c>
      <c r="C44" s="2">
        <f t="shared" si="6"/>
        <v>2.1</v>
      </c>
      <c r="D44">
        <f t="shared" si="0"/>
        <v>1.42258064516129</v>
      </c>
      <c r="E44" s="17">
        <f t="shared" si="7"/>
        <v>0</v>
      </c>
      <c r="F44" s="17">
        <v>2.1</v>
      </c>
      <c r="G44" s="4">
        <f t="shared" si="8"/>
        <v>0.67741935483871</v>
      </c>
      <c r="H44" s="18">
        <f t="shared" si="9"/>
        <v>0.32258064516129</v>
      </c>
      <c r="I44" s="6">
        <f t="shared" si="5"/>
        <v>2.1</v>
      </c>
      <c r="N44">
        <f>N43*0.011</f>
        <v>308</v>
      </c>
    </row>
    <row r="45" spans="1:14">
      <c r="A45" s="16">
        <v>0</v>
      </c>
      <c r="B45" s="16">
        <v>2.15</v>
      </c>
      <c r="C45" s="2">
        <f t="shared" si="6"/>
        <v>2.15</v>
      </c>
      <c r="D45">
        <f t="shared" si="0"/>
        <v>1.46746031746032</v>
      </c>
      <c r="E45" s="17">
        <f t="shared" si="7"/>
        <v>0</v>
      </c>
      <c r="F45" s="17">
        <v>2.15</v>
      </c>
      <c r="G45" s="4">
        <f t="shared" si="8"/>
        <v>0.682539682539683</v>
      </c>
      <c r="H45" s="18">
        <f t="shared" si="9"/>
        <v>0.317460317460317</v>
      </c>
      <c r="I45" s="6">
        <f t="shared" si="5"/>
        <v>2.15</v>
      </c>
    </row>
    <row r="46" spans="1:14">
      <c r="A46" s="16">
        <v>0</v>
      </c>
      <c r="B46" s="16">
        <v>2.2</v>
      </c>
      <c r="C46" s="2">
        <f t="shared" si="6"/>
        <v>2.2</v>
      </c>
      <c r="D46">
        <f t="shared" si="0"/>
        <v>1.5125</v>
      </c>
      <c r="E46" s="17">
        <f t="shared" si="7"/>
        <v>0</v>
      </c>
      <c r="F46" s="17">
        <v>2.2</v>
      </c>
      <c r="G46" s="4">
        <f t="shared" si="8"/>
        <v>0.6875</v>
      </c>
      <c r="H46" s="18">
        <f t="shared" si="9"/>
        <v>0.3125</v>
      </c>
      <c r="I46" s="6">
        <f t="shared" si="5"/>
        <v>2.2</v>
      </c>
    </row>
    <row r="47" spans="1:14">
      <c r="A47" s="16">
        <v>0</v>
      </c>
      <c r="B47" s="16">
        <v>2.25</v>
      </c>
      <c r="C47" s="2">
        <f t="shared" si="6"/>
        <v>2.25</v>
      </c>
      <c r="D47">
        <f t="shared" si="0"/>
        <v>1.55769230769231</v>
      </c>
      <c r="E47" s="17">
        <f t="shared" si="7"/>
        <v>0</v>
      </c>
      <c r="F47" s="17">
        <v>2.25</v>
      </c>
      <c r="G47" s="4">
        <f t="shared" si="8"/>
        <v>0.692307692307692</v>
      </c>
      <c r="H47" s="18">
        <f t="shared" si="9"/>
        <v>0.307692307692308</v>
      </c>
      <c r="I47" s="6">
        <f t="shared" si="5"/>
        <v>2.25</v>
      </c>
    </row>
    <row r="48" spans="1:14">
      <c r="A48" s="16">
        <v>0</v>
      </c>
      <c r="B48" s="16">
        <v>2.3</v>
      </c>
      <c r="C48" s="2">
        <f t="shared" si="6"/>
        <v>2.3</v>
      </c>
      <c r="D48">
        <f t="shared" si="0"/>
        <v>1.6030303030303</v>
      </c>
      <c r="E48" s="17">
        <f t="shared" si="7"/>
        <v>0</v>
      </c>
      <c r="F48" s="17">
        <v>2.3</v>
      </c>
      <c r="G48" s="4">
        <f t="shared" si="8"/>
        <v>0.696969696969697</v>
      </c>
      <c r="H48" s="18">
        <f t="shared" si="9"/>
        <v>0.303030303030303</v>
      </c>
      <c r="I48" s="6">
        <f t="shared" si="5"/>
        <v>2.3</v>
      </c>
    </row>
    <row r="49" spans="1:9">
      <c r="A49" s="16">
        <v>0</v>
      </c>
      <c r="B49" s="16">
        <v>2.35</v>
      </c>
      <c r="C49" s="2">
        <f t="shared" si="6"/>
        <v>2.35</v>
      </c>
      <c r="D49">
        <f t="shared" si="0"/>
        <v>1.64850746268657</v>
      </c>
      <c r="E49" s="17">
        <f t="shared" si="7"/>
        <v>0</v>
      </c>
      <c r="F49" s="17">
        <v>2.35</v>
      </c>
      <c r="G49" s="4">
        <f t="shared" si="8"/>
        <v>0.701492537313433</v>
      </c>
      <c r="H49" s="18">
        <f t="shared" si="9"/>
        <v>0.298507462686567</v>
      </c>
      <c r="I49" s="6">
        <f t="shared" si="5"/>
        <v>2.35</v>
      </c>
    </row>
    <row r="50" spans="1:9">
      <c r="A50" s="16">
        <v>0</v>
      </c>
      <c r="B50" s="16">
        <v>2.4</v>
      </c>
      <c r="C50" s="2">
        <f t="shared" si="6"/>
        <v>2.4</v>
      </c>
      <c r="D50">
        <f t="shared" si="0"/>
        <v>1.69411764705882</v>
      </c>
      <c r="E50" s="17">
        <f t="shared" si="7"/>
        <v>0</v>
      </c>
      <c r="F50" s="17">
        <v>2.4</v>
      </c>
      <c r="G50" s="4">
        <f t="shared" si="8"/>
        <v>0.705882352941177</v>
      </c>
    </row>
    <row r="51" spans="1:9">
      <c r="A51" s="16">
        <v>0</v>
      </c>
      <c r="B51" s="16">
        <v>2.45</v>
      </c>
      <c r="C51" s="2">
        <f t="shared" si="6"/>
        <v>2.45</v>
      </c>
      <c r="D51">
        <f t="shared" si="0"/>
        <v>1.73985507246377</v>
      </c>
      <c r="E51" s="17">
        <f t="shared" si="7"/>
        <v>0</v>
      </c>
      <c r="F51" s="17">
        <v>2.45</v>
      </c>
      <c r="G51" s="4">
        <f t="shared" si="8"/>
        <v>0.710144927536232</v>
      </c>
    </row>
    <row r="52" spans="1:9">
      <c r="A52" s="16">
        <v>0</v>
      </c>
      <c r="B52" s="16">
        <v>2.5</v>
      </c>
      <c r="C52" s="2">
        <f t="shared" si="6"/>
        <v>2.5</v>
      </c>
      <c r="D52">
        <f t="shared" si="0"/>
        <v>1.78571428571429</v>
      </c>
      <c r="E52" s="17">
        <f t="shared" si="7"/>
        <v>0</v>
      </c>
      <c r="F52" s="17">
        <v>2.5</v>
      </c>
      <c r="G52" s="4">
        <f t="shared" si="8"/>
        <v>0.714285714285714</v>
      </c>
    </row>
    <row r="53" spans="1:9">
      <c r="A53" s="16">
        <v>0</v>
      </c>
      <c r="B53" s="16">
        <v>2.55</v>
      </c>
      <c r="C53" s="2">
        <f t="shared" si="6"/>
        <v>2.55</v>
      </c>
      <c r="D53">
        <f t="shared" si="0"/>
        <v>1.83169014084507</v>
      </c>
      <c r="E53" s="17">
        <f t="shared" si="7"/>
        <v>0</v>
      </c>
      <c r="F53" s="17">
        <v>2.55</v>
      </c>
      <c r="G53" s="4">
        <f t="shared" si="8"/>
        <v>0.71830985915493</v>
      </c>
    </row>
    <row r="54" spans="1:9">
      <c r="A54" s="16">
        <v>0</v>
      </c>
      <c r="B54" s="16">
        <v>2.6</v>
      </c>
      <c r="C54" s="2">
        <f t="shared" si="6"/>
        <v>2.6</v>
      </c>
      <c r="D54">
        <f t="shared" si="0"/>
        <v>1.87777777777778</v>
      </c>
      <c r="E54" s="17">
        <f t="shared" si="7"/>
        <v>0</v>
      </c>
      <c r="F54" s="17">
        <v>2.6</v>
      </c>
      <c r="G54" s="4">
        <f t="shared" si="8"/>
        <v>0.722222222222222</v>
      </c>
    </row>
    <row r="55" spans="1:9">
      <c r="A55" s="16">
        <v>0</v>
      </c>
      <c r="B55" s="16">
        <v>2.65</v>
      </c>
      <c r="C55" s="2">
        <f t="shared" si="6"/>
        <v>2.65</v>
      </c>
      <c r="D55">
        <f t="shared" si="0"/>
        <v>1.92397260273973</v>
      </c>
      <c r="E55" s="17">
        <f t="shared" si="7"/>
        <v>0</v>
      </c>
      <c r="F55" s="17">
        <v>2.65</v>
      </c>
      <c r="G55" s="4">
        <f t="shared" si="8"/>
        <v>0.726027397260274</v>
      </c>
    </row>
    <row r="56" spans="1:9">
      <c r="A56" s="16">
        <v>0</v>
      </c>
      <c r="B56" s="16">
        <v>2.7</v>
      </c>
      <c r="C56" s="2">
        <f t="shared" si="6"/>
        <v>2.7</v>
      </c>
      <c r="D56">
        <f t="shared" si="0"/>
        <v>1.97027027027027</v>
      </c>
      <c r="E56" s="17">
        <f t="shared" si="7"/>
        <v>0</v>
      </c>
      <c r="F56" s="17">
        <v>2.7</v>
      </c>
      <c r="G56" s="4">
        <f t="shared" si="8"/>
        <v>0.72972972972973</v>
      </c>
    </row>
    <row r="57" spans="1:9">
      <c r="A57" s="16">
        <v>0</v>
      </c>
      <c r="B57" s="16">
        <v>2.75</v>
      </c>
      <c r="C57" s="2">
        <f t="shared" si="6"/>
        <v>2.75</v>
      </c>
      <c r="D57">
        <f t="shared" si="0"/>
        <v>2.01666666666667</v>
      </c>
      <c r="E57" s="17">
        <f t="shared" si="7"/>
        <v>0</v>
      </c>
      <c r="F57" s="17">
        <v>2.75</v>
      </c>
      <c r="G57" s="4">
        <f t="shared" si="8"/>
        <v>0.733333333333333</v>
      </c>
    </row>
    <row r="58" spans="1:9">
      <c r="A58" s="16">
        <v>0</v>
      </c>
      <c r="B58" s="16">
        <v>2.8</v>
      </c>
      <c r="C58" s="2">
        <f t="shared" si="6"/>
        <v>2.8</v>
      </c>
      <c r="D58">
        <f t="shared" si="0"/>
        <v>2.06315789473684</v>
      </c>
      <c r="E58" s="17">
        <f t="shared" si="7"/>
        <v>0</v>
      </c>
      <c r="F58" s="17">
        <v>2.8</v>
      </c>
      <c r="G58" s="4">
        <f t="shared" si="8"/>
        <v>0.736842105263158</v>
      </c>
    </row>
    <row r="59" spans="1:9">
      <c r="A59" s="16">
        <v>0</v>
      </c>
      <c r="B59" s="16">
        <v>2.85</v>
      </c>
      <c r="C59" s="2">
        <f t="shared" si="6"/>
        <v>2.85</v>
      </c>
      <c r="D59">
        <f t="shared" si="0"/>
        <v>2.10974025974026</v>
      </c>
      <c r="E59" s="17">
        <f t="shared" si="7"/>
        <v>0</v>
      </c>
      <c r="F59" s="17">
        <v>2.85</v>
      </c>
      <c r="G59" s="4">
        <f t="shared" si="8"/>
        <v>0.74025974025974</v>
      </c>
    </row>
    <row r="60" spans="1:9">
      <c r="A60" s="16">
        <v>0</v>
      </c>
      <c r="B60" s="16">
        <v>2.9</v>
      </c>
      <c r="C60" s="2">
        <f t="shared" si="6"/>
        <v>2.9</v>
      </c>
      <c r="D60">
        <f t="shared" si="0"/>
        <v>2.15641025641026</v>
      </c>
      <c r="E60" s="17">
        <f t="shared" si="7"/>
        <v>0</v>
      </c>
      <c r="F60" s="17">
        <v>2.9</v>
      </c>
      <c r="G60" s="4">
        <f t="shared" si="8"/>
        <v>0.743589743589744</v>
      </c>
    </row>
    <row r="61" spans="1:9">
      <c r="A61" s="16">
        <v>0</v>
      </c>
      <c r="B61" s="16">
        <v>2.95</v>
      </c>
      <c r="C61" s="2">
        <f t="shared" si="6"/>
        <v>2.95</v>
      </c>
      <c r="D61">
        <f t="shared" si="0"/>
        <v>2.20316455696203</v>
      </c>
      <c r="E61" s="17">
        <f t="shared" si="7"/>
        <v>0</v>
      </c>
      <c r="F61" s="17">
        <v>2.95</v>
      </c>
      <c r="G61" s="4">
        <f t="shared" si="8"/>
        <v>0.746835443037975</v>
      </c>
    </row>
    <row r="62" spans="1:9">
      <c r="A62" s="16">
        <v>6.11</v>
      </c>
      <c r="B62" s="16">
        <v>3</v>
      </c>
      <c r="C62" s="2">
        <f t="shared" si="6"/>
        <v>9.11</v>
      </c>
      <c r="D62">
        <f t="shared" si="0"/>
        <v>8.2090099009901</v>
      </c>
      <c r="E62" s="17">
        <v>0</v>
      </c>
      <c r="F62" s="17">
        <v>9.1</v>
      </c>
      <c r="G62" s="4">
        <f t="shared" si="8"/>
        <v>0.900990099009901</v>
      </c>
    </row>
    <row r="63" spans="1:9">
      <c r="A63" s="16">
        <v>0</v>
      </c>
      <c r="B63" s="16">
        <v>3.05</v>
      </c>
      <c r="C63" s="2">
        <f t="shared" si="6"/>
        <v>3.05</v>
      </c>
      <c r="D63">
        <f t="shared" si="0"/>
        <v>2.29691358024691</v>
      </c>
      <c r="E63" s="17">
        <f t="shared" si="7"/>
        <v>0</v>
      </c>
      <c r="F63" s="17">
        <v>3.05</v>
      </c>
      <c r="G63" s="4">
        <f t="shared" si="8"/>
        <v>0.753086419753086</v>
      </c>
    </row>
  </sheetData>
  <sheetProtection formatCells="0" insertHyperlinks="0" autoFilter="0"/>
  <mergeCells count="3">
    <mergeCell ref="J1:K1"/>
    <mergeCell ref="A2:C2"/>
    <mergeCell ref="E2:G2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insertHyperlinks="0" autoFilter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fileId="316411302406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3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WWO_wpscloud_20260818174123-ed9259823c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移速</vt:lpstr>
      <vt:lpstr>攻速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yangm</dc:creator>
  <cp:lastModifiedBy>杨明皓</cp:lastModifiedBy>
  <dcterms:created xsi:type="dcterms:W3CDTF">2024-08-03T04:14:00Z</dcterms:created>
  <dcterms:modified xsi:type="dcterms:W3CDTF">2024-08-03T04:34:00Z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A0938D74B9C14FB7970E65062652C0C7_11</vt:lpwstr>
  </property>
  <property fmtid="{D5CDD505-2E9C-101B-9397-08002B2CF9AE}" pid="3" name="KSOProductBuildVer">
    <vt:lpwstr>2052-12.9.0.28477</vt:lpwstr>
  </property>
  <property fmtid="{D5CDD505-2E9C-101B-9397-08002B2CF9AE}" pid="4" name="CalculationRule">
    <vt:i4>0</vt:i4>
  </property>
</Properties>
</file>