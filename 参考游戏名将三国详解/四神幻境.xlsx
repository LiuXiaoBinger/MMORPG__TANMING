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205"/>
  </bookViews>
  <sheets>
    <sheet name="Sheet1" sheetId="1" r:id="rId1"/>
    <sheet name="Sheet2" sheetId="3" r:id="rId2"/>
    <sheet name="导出列表_列G" sheetId="4" r:id="rId3"/>
    <sheet name="代币兑换" sheetId="6" r:id="rId4"/>
  </sheets>
  <definedNames>
    <definedName name="_xlnm._FilterDatabase" localSheetId="1" hidden="1">Sheet2!$G$1:$G$1087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<sst xmlns="http://schemas.openxmlformats.org/spreadsheetml/2006/main" count="1417" uniqueCount="155">
  <si>
    <t>四神幻境</t>
  </si>
  <si>
    <t>难度</t>
  </si>
  <si>
    <t>基础血量</t>
  </si>
  <si>
    <t>血量倍率</t>
  </si>
  <si>
    <t>血量</t>
  </si>
  <si>
    <t>核心掉落</t>
  </si>
  <si>
    <t>每日随机难度效果</t>
  </si>
  <si>
    <t>属性增益和减益</t>
  </si>
  <si>
    <t>进入门槛</t>
  </si>
  <si>
    <t>账号每周3次</t>
  </si>
  <si>
    <t>坐骑列阵格子数量</t>
  </si>
  <si>
    <t>修改后</t>
  </si>
  <si>
    <t>角色每周1次</t>
  </si>
  <si>
    <t>普通</t>
  </si>
  <si>
    <t>朱雀</t>
  </si>
  <si>
    <t>坐骑列阵一元阵眼</t>
  </si>
  <si>
    <t>1个</t>
  </si>
  <si>
    <t>水属性伤害增加</t>
  </si>
  <si>
    <t>白虎</t>
  </si>
  <si>
    <t>光属性伤害增加</t>
  </si>
  <si>
    <t>青龙</t>
  </si>
  <si>
    <t>火属性伤害增加</t>
  </si>
  <si>
    <t>玄武</t>
  </si>
  <si>
    <t>暗属性伤害增加</t>
  </si>
  <si>
    <t>困难</t>
  </si>
  <si>
    <t>坐骑列阵二元阵眼</t>
  </si>
  <si>
    <t>2个</t>
  </si>
  <si>
    <t>噩梦</t>
  </si>
  <si>
    <t>坐骑列阵三元阵眼</t>
  </si>
  <si>
    <t>3个</t>
  </si>
  <si>
    <t>1.不可切换装备</t>
  </si>
  <si>
    <t>2.四种门票 放到四神门口 购买 账号每周每种可购买3个  角色限制购买1个 自选盒子  选4种难度</t>
  </si>
  <si>
    <t>3.每个幻境限制时长 10分钟</t>
  </si>
  <si>
    <t>4.限制队伍复活币次数 8次</t>
  </si>
  <si>
    <t>5.四神幻境噩梦模式对应掉落的青龙朱雀白虎玄武  换成三圣山的 朱雀之羽  青龙白虎玄武 账号绑定</t>
  </si>
  <si>
    <t>6.取消原来的四圣兽门票的奖励任务  门票改成门口npc兑换</t>
  </si>
  <si>
    <t>7.门票携带上限1</t>
  </si>
  <si>
    <t>8.副本进入条件 参照瀛洲幻境</t>
  </si>
  <si>
    <t>9.魔刃进去切换技能  到暗涌之环</t>
  </si>
  <si>
    <t>10 屏蔽抗性减少</t>
  </si>
  <si>
    <t>11 屏蔽坐骑列阵</t>
  </si>
  <si>
    <t>12 屏蔽宝物承志效果</t>
  </si>
  <si>
    <t>hello</t>
  </si>
  <si>
    <t>13.四神体力降低一倍 从20下降到10</t>
  </si>
  <si>
    <t>14.怪物模型加大一倍</t>
  </si>
  <si>
    <t>15.玄武地图 暗抗50的要求取消</t>
  </si>
  <si>
    <t>16.四神进去 可以秒怪</t>
  </si>
  <si>
    <t>阵眼掉落：</t>
  </si>
  <si>
    <t xml:space="preserve">每个图掉1个 </t>
  </si>
  <si>
    <t>50%概率账号绑定 50%概率流通</t>
  </si>
  <si>
    <t>倍率</t>
  </si>
  <si>
    <t>掉率</t>
  </si>
  <si>
    <t>1个箱子</t>
  </si>
  <si>
    <t>10个关卡</t>
  </si>
  <si>
    <t>4个幻境</t>
  </si>
  <si>
    <t>3个角色</t>
  </si>
  <si>
    <t xml:space="preserve">困难 </t>
  </si>
  <si>
    <t>关卡</t>
  </si>
  <si>
    <t>掉落</t>
  </si>
  <si>
    <t>随机词缀</t>
  </si>
  <si>
    <t>进入条件</t>
  </si>
  <si>
    <t>坐骑列阵 阵格数量</t>
  </si>
  <si>
    <t>坐骑列阵一元阵眼+青龙之麟</t>
  </si>
  <si>
    <t>坐骑列阵一元阵眼+白虎之须</t>
  </si>
  <si>
    <t>坐骑列阵一元阵眼+朱雀之羽</t>
  </si>
  <si>
    <t>坐骑列阵一元阵眼+玄武之甲</t>
  </si>
  <si>
    <t>坐骑列阵二元阵眼+青龙之麟</t>
  </si>
  <si>
    <t>坐骑列阵二元阵眼+白虎之须</t>
  </si>
  <si>
    <t>坐骑列阵二元阵眼+朱雀之羽</t>
  </si>
  <si>
    <t>坐骑列阵二元阵眼+玄武之甲</t>
  </si>
  <si>
    <t>坐骑列阵三元阵眼+青龙之麟</t>
  </si>
  <si>
    <t>坐骑列阵三元阵眼+白虎之须</t>
  </si>
  <si>
    <t>坐骑列阵三元阵眼+朱雀之羽</t>
  </si>
  <si>
    <t>坐骑列阵三元阵眼+玄武之甲</t>
  </si>
  <si>
    <t xml:space="preserve">四神幻境 掉落对应的 </t>
  </si>
  <si>
    <t>四神幻境币</t>
  </si>
  <si>
    <t>青龙之鳞</t>
  </si>
  <si>
    <t>白虎之须</t>
  </si>
  <si>
    <t>朱雀之羽</t>
  </si>
  <si>
    <t>玄武之甲</t>
  </si>
  <si>
    <t xml:space="preserve">每个boss打完给1个箱子 </t>
  </si>
  <si>
    <t>10个箱子</t>
  </si>
  <si>
    <t>青龙之鳞 流通</t>
  </si>
  <si>
    <t xml:space="preserve">简单 </t>
  </si>
  <si>
    <t>白虎之须 流通</t>
  </si>
  <si>
    <t>朱雀之羽 流通</t>
  </si>
  <si>
    <t>玄武之甲 流通</t>
  </si>
  <si>
    <t>90%账号绑定</t>
  </si>
  <si>
    <t>6293140 玄武之甲 绑定</t>
  </si>
  <si>
    <t>10% 流通</t>
  </si>
  <si>
    <t>4927111 青龙之鳞 流通</t>
  </si>
  <si>
    <t>4796124 青龙之鳞 绑定</t>
  </si>
  <si>
    <t>2957581 玄武之甲 流通</t>
  </si>
  <si>
    <t>1060060 朱雀之羽 绑定</t>
  </si>
  <si>
    <t>605947   白虎之须 绑定</t>
  </si>
  <si>
    <t>73102     朱雀之羽 流通</t>
  </si>
  <si>
    <t>31505     白虎之须 流通</t>
  </si>
  <si>
    <t>四神幻境 掉落强化石概率</t>
  </si>
  <si>
    <t>装备强化石 角色绑定</t>
  </si>
  <si>
    <t>装备强化石兑换卷(账号绑定)</t>
  </si>
  <si>
    <t>16个角色</t>
  </si>
  <si>
    <t>价值</t>
  </si>
  <si>
    <t>掉率增长倍率</t>
  </si>
  <si>
    <t>简单</t>
  </si>
  <si>
    <t>武圣</t>
  </si>
  <si>
    <t>术士</t>
  </si>
  <si>
    <t>魔刃</t>
  </si>
  <si>
    <t>狂战</t>
  </si>
  <si>
    <t>霸刀</t>
  </si>
  <si>
    <t>魔羽</t>
  </si>
  <si>
    <t>影杀</t>
  </si>
  <si>
    <t>天翔</t>
  </si>
  <si>
    <t>破军</t>
  </si>
  <si>
    <t>技师</t>
  </si>
  <si>
    <t>霸王</t>
  </si>
  <si>
    <t>斗魂</t>
  </si>
  <si>
    <t>贪狼</t>
  </si>
  <si>
    <t>七杀</t>
  </si>
  <si>
    <t>列G</t>
  </si>
  <si>
    <t>计数</t>
  </si>
  <si>
    <t>(空)</t>
  </si>
  <si>
    <t>道具ID</t>
  </si>
  <si>
    <t>道具名称</t>
  </si>
  <si>
    <t>兑换数量</t>
  </si>
  <si>
    <t>道具价值</t>
  </si>
  <si>
    <t>账号月限购</t>
  </si>
  <si>
    <t>代币比例</t>
  </si>
  <si>
    <t>绑定</t>
  </si>
  <si>
    <t>复活币包(1)</t>
  </si>
  <si>
    <t>治疗丸</t>
  </si>
  <si>
    <t>醒脑丸</t>
  </si>
  <si>
    <t>大喇叭</t>
  </si>
  <si>
    <t>天命天铠符石</t>
  </si>
  <si>
    <t>四神幻境币角色绑定</t>
  </si>
  <si>
    <t>四神神石</t>
  </si>
  <si>
    <t>翀天试炼牌</t>
  </si>
  <si>
    <t>四神幻境掉率</t>
  </si>
  <si>
    <t>铜制徽记</t>
  </si>
  <si>
    <t>每关boss打完给1个箱子</t>
  </si>
  <si>
    <t>掉落倍率</t>
  </si>
  <si>
    <t>数量</t>
  </si>
  <si>
    <t>12个箱子</t>
  </si>
  <si>
    <t>4个关卡</t>
  </si>
  <si>
    <t>产出比例倍率</t>
  </si>
  <si>
    <t>角色/周</t>
  </si>
  <si>
    <t>角色/月</t>
  </si>
  <si>
    <t>角色/年</t>
  </si>
  <si>
    <t>月华符文</t>
  </si>
  <si>
    <t>蓝色打孔器</t>
  </si>
  <si>
    <t>绿色打孔器</t>
  </si>
  <si>
    <t>紫色打孔器</t>
  </si>
  <si>
    <t>流通</t>
  </si>
  <si>
    <t>轩辕传奇令</t>
  </si>
  <si>
    <t>基础</t>
  </si>
  <si>
    <t>16角色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</si>
</sst>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_);[Red]\(\¥#,##0.00\)"/>
    <numFmt numFmtId="177" formatCode="0_);[Red]\(0\)"/>
    <numFmt numFmtId="178" formatCode="0&quot;.&quot;00,,&quot;亿&quot;"/>
  </numFmts>
  <fonts count="30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sz val="10"/>
      <color rgb="FFF88825"/>
      <name val="宋体"/>
      <charset val="134"/>
      <scheme val="minor"/>
    </font>
    <font>
      <sz val="10"/>
      <color rgb="FFEF4E2F"/>
      <name val="宋体"/>
      <charset val="134"/>
      <scheme val="minor"/>
    </font>
    <font>
      <sz val="12"/>
      <color rgb="FF000000"/>
      <name val="宋体"/>
      <charset val="134"/>
    </font>
    <font>
      <sz val="12"/>
      <name val="宋体"/>
      <charset val="134"/>
    </font>
    <font>
      <b/>
      <sz val="11"/>
      <color theme="0"/>
      <name val="宋体"/>
      <charset val="134"/>
      <scheme val="minor"/>
    </font>
    <font>
      <sz val="11.25"/>
      <color rgb="FF05073B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"/>
        <bgColor theme="0" tint="-0.14999847407452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8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4" fillId="0" borderId="0" xfId="0" applyFont="1">
      <alignment vertical="center"/>
    </xf>
    <xf numFmtId="176" fontId="5" fillId="0" borderId="2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177" fontId="1" fillId="0" borderId="3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/>
    </xf>
    <xf numFmtId="0" fontId="4" fillId="0" borderId="2" xfId="0" applyFont="1" applyBorder="1">
      <alignment vertical="center"/>
    </xf>
    <xf numFmtId="0" fontId="0" fillId="0" borderId="2" xfId="0" applyBorder="1">
      <alignment vertical="center"/>
    </xf>
    <xf numFmtId="0" fontId="7" fillId="0" borderId="2" xfId="0" applyFont="1" applyFill="1" applyBorder="1" applyAlignment="1"/>
    <xf numFmtId="0" fontId="8" fillId="0" borderId="2" xfId="0" applyFont="1" applyFill="1" applyBorder="1" applyAlignment="1"/>
    <xf numFmtId="0" fontId="0" fillId="0" borderId="2" xfId="0" applyFill="1" applyBorder="1">
      <alignment vertical="center"/>
    </xf>
    <xf numFmtId="0" fontId="4" fillId="0" borderId="2" xfId="0" applyFont="1" applyFill="1" applyBorder="1">
      <alignment vertical="center"/>
    </xf>
    <xf numFmtId="9" fontId="8" fillId="0" borderId="2" xfId="0" applyNumberFormat="1" applyFont="1" applyFill="1" applyBorder="1" applyAlignment="1"/>
    <xf numFmtId="7" fontId="0" fillId="0" borderId="2" xfId="0" applyNumberFormat="1" applyBorder="1">
      <alignment vertical="center"/>
    </xf>
    <xf numFmtId="0" fontId="4" fillId="2" borderId="0" xfId="0" applyFont="1" applyFill="1">
      <alignment vertical="center"/>
    </xf>
    <xf numFmtId="0" fontId="1" fillId="0" borderId="0" xfId="0" applyFont="1">
      <alignment vertical="center"/>
    </xf>
    <xf numFmtId="7" fontId="0" fillId="0" borderId="0" xfId="0" applyNumberFormat="1">
      <alignment vertical="center"/>
    </xf>
    <xf numFmtId="0" fontId="7" fillId="0" borderId="0" xfId="0" applyFont="1" applyFill="1" applyBorder="1" applyAlignment="1"/>
    <xf numFmtId="0" fontId="4" fillId="0" borderId="0" xfId="0" applyFont="1" applyFill="1">
      <alignment vertical="center"/>
    </xf>
    <xf numFmtId="178" fontId="0" fillId="0" borderId="0" xfId="0" applyNumberFormat="1">
      <alignment vertical="center"/>
    </xf>
    <xf numFmtId="9" fontId="8" fillId="0" borderId="0" xfId="0" applyNumberFormat="1" applyFont="1" applyFill="1" applyBorder="1" applyAlignment="1"/>
    <xf numFmtId="0" fontId="8" fillId="0" borderId="0" xfId="0" applyFont="1" applyFill="1" applyBorder="1" applyAlignment="1"/>
    <xf numFmtId="0" fontId="0" fillId="0" borderId="0" xfId="0" applyFill="1" applyAlignment="1">
      <alignment horizontal="center" vertical="center"/>
    </xf>
    <xf numFmtId="7" fontId="0" fillId="0" borderId="0" xfId="0" applyNumberFormat="1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0" fontId="8" fillId="2" borderId="0" xfId="0" applyFont="1" applyFill="1" applyBorder="1" applyAlignment="1"/>
    <xf numFmtId="9" fontId="0" fillId="0" borderId="0" xfId="0" applyNumberFormat="1">
      <alignment vertical="center"/>
    </xf>
    <xf numFmtId="0" fontId="0" fillId="0" borderId="0" xfId="0" applyFont="1" applyFill="1" applyBorder="1" applyAlignment="1">
      <alignment horizontal="center" vertical="center"/>
    </xf>
    <xf numFmtId="178" fontId="0" fillId="2" borderId="0" xfId="0" applyNumberFormat="1" applyFill="1">
      <alignment vertical="center"/>
    </xf>
    <xf numFmtId="0" fontId="0" fillId="0" borderId="0" xfId="0" applyFill="1">
      <alignment vertical="center"/>
    </xf>
    <xf numFmtId="0" fontId="9" fillId="3" borderId="4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4" borderId="0" xfId="0" applyFont="1" applyFill="1" applyBorder="1" applyAlignment="1">
      <alignment horizontal="center" vertical="center"/>
    </xf>
    <xf numFmtId="0" fontId="0" fillId="4" borderId="6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7" fillId="2" borderId="0" xfId="0" applyFont="1" applyFill="1" applyBorder="1" applyAlignment="1"/>
    <xf numFmtId="9" fontId="8" fillId="2" borderId="0" xfId="0" applyNumberFormat="1" applyFont="1" applyFill="1" applyBorder="1" applyAlignment="1"/>
    <xf numFmtId="9" fontId="0" fillId="2" borderId="0" xfId="0" applyNumberFormat="1" applyFill="1">
      <alignment vertical="center"/>
    </xf>
    <xf numFmtId="0" fontId="7" fillId="2" borderId="2" xfId="0" applyFont="1" applyFill="1" applyBorder="1" applyAlignment="1"/>
    <xf numFmtId="0" fontId="4" fillId="2" borderId="2" xfId="0" applyFont="1" applyFill="1" applyBorder="1">
      <alignment vertical="center"/>
    </xf>
    <xf numFmtId="0" fontId="8" fillId="2" borderId="2" xfId="0" applyFont="1" applyFill="1" applyBorder="1" applyAlignment="1"/>
    <xf numFmtId="9" fontId="0" fillId="2" borderId="2" xfId="0" applyNumberFormat="1" applyFill="1" applyBorder="1">
      <alignment vertical="center"/>
    </xf>
    <xf numFmtId="10" fontId="0" fillId="0" borderId="2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2"/>
  <sheetViews>
    <sheetView tabSelected="1" workbookViewId="0">
      <selection activeCell="H98" sqref="H98:J102"/>
    </sheetView>
  </sheetViews>
  <sheetFormatPr defaultColWidth="9" defaultRowHeight="13.5"/>
  <cols>
    <col min="1" max="1" width="24.625" customWidth="1"/>
    <col min="2" max="2" width="12" customWidth="1"/>
    <col min="4" max="4" width="32.75" customWidth="1"/>
    <col min="5" max="5" width="24.75" customWidth="1"/>
    <col min="6" max="6" width="16.125" customWidth="1"/>
    <col min="7" max="7" width="17.125" customWidth="1"/>
    <col min="8" max="8" width="19.375" customWidth="1"/>
    <col min="9" max="10" width="15" customWidth="1"/>
    <col min="11" max="11" width="22.375" customWidth="1"/>
    <col min="13" max="13" width="10.25"/>
    <col min="14" max="14" width="21.5" customWidth="1"/>
    <col min="15" max="15" width="10.375"/>
  </cols>
  <sheetData>
    <row r="1" spans="1:15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s="5" t="s">
        <v>6</v>
      </c>
      <c r="I1" s="5" t="s">
        <v>7</v>
      </c>
      <c r="K1" s="5" t="s">
        <v>8</v>
      </c>
    </row>
    <row r="2" spans="1:15">
      <c r="A2" s="5" t="s">
        <v>9</v>
      </c>
      <c r="F2" s="23"/>
      <c r="K2" s="5" t="s">
        <v>10</v>
      </c>
      <c r="M2" s="5" t="s">
        <v>11</v>
      </c>
    </row>
    <row r="3" spans="1:15">
      <c r="A3" s="5" t="s">
        <v>12</v>
      </c>
      <c r="B3" t="s">
        <v>13</v>
      </c>
      <c r="C3" s="5" t="s">
        <v>14</v>
      </c>
      <c r="D3">
        <v>10000000</v>
      </c>
      <c r="E3">
        <f>F3/D3</f>
        <v>100</v>
      </c>
      <c r="F3" s="23">
        <v>1000000000</v>
      </c>
      <c r="G3" t="s">
        <v>15</v>
      </c>
      <c r="H3" t="s">
        <v>16</v>
      </c>
      <c r="I3" s="5" t="s">
        <v>17</v>
      </c>
      <c r="J3">
        <v>10</v>
      </c>
      <c r="K3">
        <v>1</v>
      </c>
      <c r="L3">
        <v>10</v>
      </c>
      <c r="M3" s="32">
        <f>F3*0.6</f>
        <v>600000000</v>
      </c>
      <c r="N3">
        <f>M3/2</f>
        <v>300000000</v>
      </c>
      <c r="O3" s="23"/>
    </row>
    <row r="4" spans="1:15">
      <c r="B4" t="s">
        <v>13</v>
      </c>
      <c r="C4" s="5" t="s">
        <v>18</v>
      </c>
      <c r="D4">
        <v>10000000</v>
      </c>
      <c r="E4">
        <f t="shared" ref="E4:E14" si="0">F4/D4</f>
        <v>250</v>
      </c>
      <c r="F4" s="23">
        <v>2500000000</v>
      </c>
      <c r="G4" t="s">
        <v>15</v>
      </c>
      <c r="H4" t="s">
        <v>16</v>
      </c>
      <c r="I4" s="5" t="s">
        <v>19</v>
      </c>
      <c r="J4">
        <v>20</v>
      </c>
      <c r="K4">
        <v>1</v>
      </c>
      <c r="L4">
        <v>20</v>
      </c>
      <c r="M4" s="32">
        <f t="shared" ref="M4:M14" si="1">F4*0.6</f>
        <v>1500000000</v>
      </c>
      <c r="N4">
        <f t="shared" ref="N4:N14" si="2">M4/2</f>
        <v>750000000</v>
      </c>
      <c r="O4" s="23"/>
    </row>
    <row r="5" spans="1:15">
      <c r="B5" t="s">
        <v>13</v>
      </c>
      <c r="C5" s="5" t="s">
        <v>20</v>
      </c>
      <c r="D5">
        <v>10000000</v>
      </c>
      <c r="E5">
        <f t="shared" si="0"/>
        <v>500</v>
      </c>
      <c r="F5" s="23">
        <v>5000000000</v>
      </c>
      <c r="G5" t="s">
        <v>15</v>
      </c>
      <c r="H5" t="s">
        <v>16</v>
      </c>
      <c r="I5" s="5" t="s">
        <v>21</v>
      </c>
      <c r="J5">
        <v>30</v>
      </c>
      <c r="K5">
        <v>1</v>
      </c>
      <c r="L5">
        <v>30</v>
      </c>
      <c r="M5" s="32">
        <f t="shared" si="1"/>
        <v>3000000000</v>
      </c>
      <c r="N5">
        <f t="shared" si="2"/>
        <v>1500000000</v>
      </c>
      <c r="O5" s="23"/>
    </row>
    <row r="6" spans="1:15">
      <c r="B6" t="s">
        <v>13</v>
      </c>
      <c r="C6" t="s">
        <v>22</v>
      </c>
      <c r="D6">
        <v>10000000</v>
      </c>
      <c r="E6">
        <f t="shared" si="0"/>
        <v>750</v>
      </c>
      <c r="F6" s="23">
        <v>7500000000</v>
      </c>
      <c r="G6" t="s">
        <v>15</v>
      </c>
      <c r="H6" t="s">
        <v>16</v>
      </c>
      <c r="I6" s="5" t="s">
        <v>23</v>
      </c>
      <c r="J6">
        <v>40</v>
      </c>
      <c r="K6">
        <v>1</v>
      </c>
      <c r="L6">
        <v>40</v>
      </c>
      <c r="M6" s="32">
        <f t="shared" si="1"/>
        <v>4500000000</v>
      </c>
      <c r="N6">
        <f t="shared" si="2"/>
        <v>2250000000</v>
      </c>
      <c r="O6" s="23"/>
    </row>
    <row r="7" spans="1:15">
      <c r="B7" t="s">
        <v>24</v>
      </c>
      <c r="C7" s="5" t="s">
        <v>14</v>
      </c>
      <c r="D7">
        <v>100000000</v>
      </c>
      <c r="E7">
        <f t="shared" si="0"/>
        <v>100</v>
      </c>
      <c r="F7" s="23">
        <f t="shared" ref="F7:F14" si="3">F3*10</f>
        <v>10000000000</v>
      </c>
      <c r="G7" t="s">
        <v>25</v>
      </c>
      <c r="H7" t="s">
        <v>26</v>
      </c>
      <c r="I7" s="5" t="s">
        <v>17</v>
      </c>
      <c r="J7">
        <v>100</v>
      </c>
      <c r="K7">
        <v>3</v>
      </c>
      <c r="L7">
        <v>100</v>
      </c>
      <c r="M7" s="32">
        <f t="shared" si="1"/>
        <v>6000000000</v>
      </c>
      <c r="N7">
        <f t="shared" si="2"/>
        <v>3000000000</v>
      </c>
      <c r="O7" s="23"/>
    </row>
    <row r="8" spans="1:15">
      <c r="B8" t="s">
        <v>24</v>
      </c>
      <c r="C8" s="5" t="s">
        <v>18</v>
      </c>
      <c r="D8">
        <v>100000000</v>
      </c>
      <c r="E8">
        <f t="shared" si="0"/>
        <v>250</v>
      </c>
      <c r="F8" s="23">
        <f t="shared" si="3"/>
        <v>25000000000</v>
      </c>
      <c r="G8" t="s">
        <v>25</v>
      </c>
      <c r="H8" t="s">
        <v>26</v>
      </c>
      <c r="I8" s="5" t="s">
        <v>19</v>
      </c>
      <c r="J8">
        <v>200</v>
      </c>
      <c r="K8">
        <v>3</v>
      </c>
      <c r="L8">
        <v>200</v>
      </c>
      <c r="M8" s="32">
        <f t="shared" si="1"/>
        <v>15000000000</v>
      </c>
      <c r="N8">
        <f t="shared" si="2"/>
        <v>7500000000</v>
      </c>
      <c r="O8" s="23"/>
    </row>
    <row r="9" spans="1:15">
      <c r="B9" t="s">
        <v>24</v>
      </c>
      <c r="C9" s="5" t="s">
        <v>20</v>
      </c>
      <c r="D9">
        <v>100000000</v>
      </c>
      <c r="E9">
        <f t="shared" si="0"/>
        <v>500</v>
      </c>
      <c r="F9" s="23">
        <f t="shared" si="3"/>
        <v>50000000000</v>
      </c>
      <c r="G9" t="s">
        <v>25</v>
      </c>
      <c r="H9" t="s">
        <v>26</v>
      </c>
      <c r="I9" s="5" t="s">
        <v>21</v>
      </c>
      <c r="J9">
        <v>300</v>
      </c>
      <c r="K9">
        <v>3</v>
      </c>
      <c r="L9">
        <v>300</v>
      </c>
      <c r="M9" s="32">
        <f t="shared" si="1"/>
        <v>30000000000</v>
      </c>
      <c r="N9">
        <f t="shared" si="2"/>
        <v>15000000000</v>
      </c>
      <c r="O9" s="23"/>
    </row>
    <row r="10" spans="1:15">
      <c r="B10" t="s">
        <v>24</v>
      </c>
      <c r="C10" t="s">
        <v>22</v>
      </c>
      <c r="D10">
        <v>100000000</v>
      </c>
      <c r="E10">
        <f t="shared" si="0"/>
        <v>750</v>
      </c>
      <c r="F10" s="23">
        <f t="shared" si="3"/>
        <v>75000000000</v>
      </c>
      <c r="G10" t="s">
        <v>25</v>
      </c>
      <c r="H10" t="s">
        <v>26</v>
      </c>
      <c r="I10" s="5" t="s">
        <v>23</v>
      </c>
      <c r="J10">
        <v>400</v>
      </c>
      <c r="K10">
        <v>3</v>
      </c>
      <c r="L10">
        <v>400</v>
      </c>
      <c r="M10" s="32">
        <f t="shared" si="1"/>
        <v>45000000000</v>
      </c>
      <c r="N10">
        <f t="shared" si="2"/>
        <v>22500000000</v>
      </c>
      <c r="O10" s="23"/>
    </row>
    <row r="11" spans="1:15">
      <c r="B11" t="s">
        <v>27</v>
      </c>
      <c r="C11" s="5" t="s">
        <v>14</v>
      </c>
      <c r="D11">
        <v>1000000000</v>
      </c>
      <c r="E11">
        <f t="shared" si="0"/>
        <v>100</v>
      </c>
      <c r="F11" s="23">
        <f t="shared" si="3"/>
        <v>100000000000</v>
      </c>
      <c r="G11" t="s">
        <v>28</v>
      </c>
      <c r="H11" t="s">
        <v>29</v>
      </c>
      <c r="I11" s="5" t="s">
        <v>17</v>
      </c>
      <c r="J11">
        <v>1000</v>
      </c>
      <c r="K11">
        <v>6</v>
      </c>
      <c r="L11">
        <v>1000</v>
      </c>
      <c r="M11" s="32">
        <f t="shared" si="1"/>
        <v>60000000000</v>
      </c>
      <c r="N11">
        <f t="shared" si="2"/>
        <v>30000000000</v>
      </c>
      <c r="O11" s="23"/>
    </row>
    <row r="12" spans="1:15">
      <c r="B12" t="s">
        <v>27</v>
      </c>
      <c r="C12" s="5" t="s">
        <v>18</v>
      </c>
      <c r="D12">
        <v>1000000000</v>
      </c>
      <c r="E12">
        <f t="shared" si="0"/>
        <v>250</v>
      </c>
      <c r="F12" s="23">
        <f t="shared" si="3"/>
        <v>250000000000</v>
      </c>
      <c r="G12" t="s">
        <v>28</v>
      </c>
      <c r="H12" t="s">
        <v>29</v>
      </c>
      <c r="I12" s="5" t="s">
        <v>19</v>
      </c>
      <c r="J12">
        <v>2000</v>
      </c>
      <c r="K12">
        <v>6</v>
      </c>
      <c r="L12">
        <v>2000</v>
      </c>
      <c r="M12" s="32">
        <f t="shared" si="1"/>
        <v>150000000000</v>
      </c>
      <c r="N12">
        <f t="shared" si="2"/>
        <v>75000000000</v>
      </c>
      <c r="O12" s="23"/>
    </row>
    <row r="13" spans="1:15">
      <c r="B13" t="s">
        <v>27</v>
      </c>
      <c r="C13" s="5" t="s">
        <v>20</v>
      </c>
      <c r="D13">
        <v>1000000000</v>
      </c>
      <c r="E13">
        <f t="shared" si="0"/>
        <v>500</v>
      </c>
      <c r="F13" s="23">
        <f t="shared" si="3"/>
        <v>500000000000</v>
      </c>
      <c r="G13" t="s">
        <v>28</v>
      </c>
      <c r="H13" t="s">
        <v>29</v>
      </c>
      <c r="I13" s="5" t="s">
        <v>21</v>
      </c>
      <c r="J13">
        <v>3000</v>
      </c>
      <c r="K13">
        <v>6</v>
      </c>
      <c r="L13">
        <v>3000</v>
      </c>
      <c r="M13" s="32">
        <f t="shared" si="1"/>
        <v>300000000000</v>
      </c>
      <c r="N13">
        <f t="shared" si="2"/>
        <v>150000000000</v>
      </c>
      <c r="O13" s="23"/>
    </row>
    <row r="14" spans="1:15">
      <c r="B14" t="s">
        <v>27</v>
      </c>
      <c r="C14" t="s">
        <v>22</v>
      </c>
      <c r="D14">
        <v>1000000000</v>
      </c>
      <c r="E14">
        <f t="shared" si="0"/>
        <v>750</v>
      </c>
      <c r="F14" s="23">
        <f t="shared" si="3"/>
        <v>750000000000</v>
      </c>
      <c r="G14" t="s">
        <v>28</v>
      </c>
      <c r="H14" t="s">
        <v>29</v>
      </c>
      <c r="I14" s="5" t="s">
        <v>23</v>
      </c>
      <c r="J14">
        <v>4000</v>
      </c>
      <c r="K14">
        <v>6</v>
      </c>
      <c r="L14">
        <v>4000</v>
      </c>
      <c r="M14" s="32">
        <f t="shared" si="1"/>
        <v>450000000000</v>
      </c>
      <c r="N14">
        <f t="shared" si="2"/>
        <v>225000000000</v>
      </c>
      <c r="O14" s="23"/>
    </row>
    <row r="18" spans="1:11">
      <c r="A18" s="5" t="s">
        <v>30</v>
      </c>
    </row>
    <row r="19" spans="1:11">
      <c r="A19" s="5" t="s">
        <v>31</v>
      </c>
    </row>
    <row r="20" spans="1:11">
      <c r="A20" s="18" t="s">
        <v>32</v>
      </c>
    </row>
    <row r="21" spans="1:11">
      <c r="A21" s="5" t="s">
        <v>33</v>
      </c>
    </row>
    <row r="22" spans="1:11">
      <c r="A22" s="5" t="s">
        <v>34</v>
      </c>
    </row>
    <row r="23" spans="1:11">
      <c r="A23" s="5" t="s">
        <v>35</v>
      </c>
    </row>
    <row r="24" spans="1:11">
      <c r="A24" s="5" t="s">
        <v>36</v>
      </c>
    </row>
    <row r="25" spans="1:11">
      <c r="A25" s="5" t="s">
        <v>37</v>
      </c>
      <c r="K25" s="5"/>
    </row>
    <row r="26" spans="1:11">
      <c r="A26" s="5" t="s">
        <v>38</v>
      </c>
      <c r="K26" s="5"/>
    </row>
    <row r="27" spans="1:11">
      <c r="A27" s="5" t="s">
        <v>39</v>
      </c>
      <c r="K27" s="5"/>
    </row>
    <row r="28" spans="1:11">
      <c r="A28" s="5" t="s">
        <v>40</v>
      </c>
      <c r="K28" s="5"/>
    </row>
    <row r="29" spans="1:11">
      <c r="A29" s="5" t="s">
        <v>41</v>
      </c>
      <c r="J29" s="5" t="s">
        <v>42</v>
      </c>
      <c r="K29" s="5" t="e" cm="1">
        <f t="array" ref="K29">GOOGLETRANSLATE(A1,"zh-CN")</f>
        <v>#NAME?</v>
      </c>
    </row>
    <row r="30" spans="1:11">
      <c r="A30" s="5" t="s">
        <v>43</v>
      </c>
      <c r="K30" s="5"/>
    </row>
    <row r="31" spans="1:11">
      <c r="A31" s="5" t="s">
        <v>44</v>
      </c>
      <c r="K31" s="5"/>
    </row>
    <row r="32" spans="1:11">
      <c r="A32" s="5" t="s">
        <v>45</v>
      </c>
      <c r="K32" s="5"/>
    </row>
    <row r="33" spans="1:11">
      <c r="A33" s="5" t="s">
        <v>46</v>
      </c>
      <c r="K33" s="5"/>
    </row>
    <row r="34" spans="1:11">
      <c r="A34" s="5"/>
      <c r="K34" s="5"/>
    </row>
    <row r="35" spans="1:11">
      <c r="A35" s="5" t="s">
        <v>47</v>
      </c>
    </row>
    <row r="36" spans="1:11">
      <c r="A36" s="5" t="s">
        <v>48</v>
      </c>
    </row>
    <row r="37" spans="1:11">
      <c r="A37" s="5" t="s">
        <v>49</v>
      </c>
    </row>
    <row r="38" ht="14.25" spans="1:11">
      <c r="B38" s="21" t="s">
        <v>50</v>
      </c>
      <c r="C38" s="5" t="s">
        <v>51</v>
      </c>
      <c r="D38" s="5" t="s">
        <v>52</v>
      </c>
      <c r="E38" s="5" t="s">
        <v>53</v>
      </c>
      <c r="F38" s="5" t="s">
        <v>54</v>
      </c>
      <c r="G38" s="5" t="s">
        <v>55</v>
      </c>
    </row>
    <row r="39" ht="14.25" spans="1:11">
      <c r="A39" s="25"/>
      <c r="B39" s="25">
        <v>1</v>
      </c>
    </row>
    <row r="40" ht="14.25" spans="1:11">
      <c r="A40" s="25" t="s">
        <v>13</v>
      </c>
      <c r="B40" s="25">
        <v>1</v>
      </c>
      <c r="C40" s="30">
        <v>0.67</v>
      </c>
      <c r="D40">
        <f>B40*C40</f>
        <v>0.67</v>
      </c>
      <c r="E40">
        <f>D40*10</f>
        <v>6.7</v>
      </c>
      <c r="F40">
        <f>E40*4</f>
        <v>26.8</v>
      </c>
      <c r="G40">
        <f>F40*3</f>
        <v>80.4</v>
      </c>
      <c r="H40" s="31" t="s">
        <v>15</v>
      </c>
    </row>
    <row r="41" ht="14.25" spans="1:11">
      <c r="A41" s="25" t="s">
        <v>56</v>
      </c>
      <c r="B41" s="25">
        <v>2</v>
      </c>
      <c r="C41" s="30">
        <v>0.53</v>
      </c>
      <c r="D41">
        <f>B41*C41</f>
        <v>1.06</v>
      </c>
      <c r="E41">
        <f>D41*10</f>
        <v>10.6</v>
      </c>
      <c r="F41">
        <f>E41*4</f>
        <v>42.4</v>
      </c>
      <c r="G41">
        <f>F41*3</f>
        <v>127.2</v>
      </c>
      <c r="H41" s="31" t="s">
        <v>25</v>
      </c>
    </row>
    <row r="42" ht="14.25" spans="1:11">
      <c r="A42" s="25" t="s">
        <v>27</v>
      </c>
      <c r="B42" s="25">
        <v>3</v>
      </c>
      <c r="C42" s="30">
        <v>0.47</v>
      </c>
      <c r="D42">
        <f>B42*C42</f>
        <v>1.41</v>
      </c>
      <c r="E42">
        <f>D42*10</f>
        <v>14.1</v>
      </c>
      <c r="F42">
        <f>E42*4</f>
        <v>56.4</v>
      </c>
      <c r="G42">
        <f>F42*3</f>
        <v>169.2</v>
      </c>
      <c r="H42" s="31" t="s">
        <v>28</v>
      </c>
    </row>
    <row r="43" spans="1:11">
      <c r="A43" s="33"/>
      <c r="B43">
        <v>3</v>
      </c>
      <c r="C43" s="30">
        <v>0.4</v>
      </c>
      <c r="D43">
        <f>C43*B43</f>
        <v>1.2</v>
      </c>
      <c r="E43">
        <f>D43*12</f>
        <v>14.4</v>
      </c>
    </row>
    <row r="46" ht="14.25"/>
    <row r="47" ht="14.25" spans="1:11">
      <c r="B47" s="34" t="s">
        <v>1</v>
      </c>
      <c r="C47" s="34" t="s">
        <v>57</v>
      </c>
      <c r="D47" s="34" t="s">
        <v>58</v>
      </c>
      <c r="E47" s="34" t="s">
        <v>7</v>
      </c>
      <c r="F47" s="34" t="s">
        <v>59</v>
      </c>
      <c r="G47" s="34" t="s">
        <v>60</v>
      </c>
    </row>
    <row r="48" spans="1:11">
      <c r="B48" s="35"/>
      <c r="C48" s="36"/>
      <c r="D48" s="35"/>
      <c r="E48" s="36"/>
      <c r="F48" s="35"/>
      <c r="G48" s="36" t="s">
        <v>61</v>
      </c>
    </row>
    <row r="49" spans="2:7">
      <c r="B49" s="37" t="s">
        <v>13</v>
      </c>
      <c r="C49" s="31" t="s">
        <v>20</v>
      </c>
      <c r="D49" s="37" t="s">
        <v>62</v>
      </c>
      <c r="E49" s="31" t="s">
        <v>17</v>
      </c>
      <c r="F49" s="37" t="s">
        <v>16</v>
      </c>
      <c r="G49" s="31">
        <v>1</v>
      </c>
    </row>
    <row r="50" spans="2:7">
      <c r="B50" s="37" t="s">
        <v>13</v>
      </c>
      <c r="C50" s="31" t="s">
        <v>18</v>
      </c>
      <c r="D50" s="37" t="s">
        <v>63</v>
      </c>
      <c r="E50" s="31" t="s">
        <v>19</v>
      </c>
      <c r="F50" s="37" t="s">
        <v>16</v>
      </c>
      <c r="G50" s="31">
        <v>1</v>
      </c>
    </row>
    <row r="51" spans="2:7">
      <c r="B51" s="37" t="s">
        <v>13</v>
      </c>
      <c r="C51" s="31" t="s">
        <v>14</v>
      </c>
      <c r="D51" s="37" t="s">
        <v>64</v>
      </c>
      <c r="E51" s="31" t="s">
        <v>21</v>
      </c>
      <c r="F51" s="37" t="s">
        <v>16</v>
      </c>
      <c r="G51" s="31">
        <v>1</v>
      </c>
    </row>
    <row r="52" spans="2:7">
      <c r="B52" s="37" t="s">
        <v>13</v>
      </c>
      <c r="C52" s="31" t="s">
        <v>22</v>
      </c>
      <c r="D52" s="37" t="s">
        <v>65</v>
      </c>
      <c r="E52" s="31" t="s">
        <v>23</v>
      </c>
      <c r="F52" s="37" t="s">
        <v>16</v>
      </c>
      <c r="G52" s="31">
        <v>1</v>
      </c>
    </row>
    <row r="53" spans="2:7">
      <c r="B53" s="37" t="s">
        <v>24</v>
      </c>
      <c r="C53" s="31" t="s">
        <v>20</v>
      </c>
      <c r="D53" s="37" t="s">
        <v>66</v>
      </c>
      <c r="E53" s="31" t="s">
        <v>17</v>
      </c>
      <c r="F53" s="37" t="s">
        <v>26</v>
      </c>
      <c r="G53" s="31">
        <v>3</v>
      </c>
    </row>
    <row r="54" spans="2:7">
      <c r="B54" s="37" t="s">
        <v>24</v>
      </c>
      <c r="C54" s="31" t="s">
        <v>18</v>
      </c>
      <c r="D54" s="37" t="s">
        <v>67</v>
      </c>
      <c r="E54" s="31" t="s">
        <v>19</v>
      </c>
      <c r="F54" s="37" t="s">
        <v>26</v>
      </c>
      <c r="G54" s="31">
        <v>3</v>
      </c>
    </row>
    <row r="55" spans="2:7">
      <c r="B55" s="37" t="s">
        <v>24</v>
      </c>
      <c r="C55" s="31" t="s">
        <v>14</v>
      </c>
      <c r="D55" s="37" t="s">
        <v>68</v>
      </c>
      <c r="E55" s="31" t="s">
        <v>21</v>
      </c>
      <c r="F55" s="37" t="s">
        <v>26</v>
      </c>
      <c r="G55" s="31">
        <v>3</v>
      </c>
    </row>
    <row r="56" spans="2:7">
      <c r="B56" s="37" t="s">
        <v>24</v>
      </c>
      <c r="C56" s="31" t="s">
        <v>22</v>
      </c>
      <c r="D56" s="37" t="s">
        <v>69</v>
      </c>
      <c r="E56" s="31" t="s">
        <v>23</v>
      </c>
      <c r="F56" s="37" t="s">
        <v>26</v>
      </c>
      <c r="G56" s="31">
        <v>3</v>
      </c>
    </row>
    <row r="57" spans="2:7">
      <c r="B57" s="37" t="s">
        <v>27</v>
      </c>
      <c r="C57" s="31" t="s">
        <v>20</v>
      </c>
      <c r="D57" s="37" t="s">
        <v>70</v>
      </c>
      <c r="E57" s="31" t="s">
        <v>17</v>
      </c>
      <c r="F57" s="37" t="s">
        <v>29</v>
      </c>
      <c r="G57" s="31">
        <v>6</v>
      </c>
    </row>
    <row r="58" spans="2:7">
      <c r="B58" s="37" t="s">
        <v>27</v>
      </c>
      <c r="C58" s="31" t="s">
        <v>18</v>
      </c>
      <c r="D58" s="37" t="s">
        <v>71</v>
      </c>
      <c r="E58" s="31" t="s">
        <v>19</v>
      </c>
      <c r="F58" s="37" t="s">
        <v>29</v>
      </c>
      <c r="G58" s="31">
        <v>6</v>
      </c>
    </row>
    <row r="59" spans="2:7">
      <c r="B59" s="37" t="s">
        <v>27</v>
      </c>
      <c r="C59" s="31" t="s">
        <v>14</v>
      </c>
      <c r="D59" s="37" t="s">
        <v>72</v>
      </c>
      <c r="E59" s="31" t="s">
        <v>21</v>
      </c>
      <c r="F59" s="37" t="s">
        <v>29</v>
      </c>
      <c r="G59" s="31">
        <v>6</v>
      </c>
    </row>
    <row r="60" ht="14.25" spans="2:7">
      <c r="B60" s="38" t="s">
        <v>27</v>
      </c>
      <c r="C60" s="39" t="s">
        <v>22</v>
      </c>
      <c r="D60" s="38" t="s">
        <v>73</v>
      </c>
      <c r="E60" s="39" t="s">
        <v>23</v>
      </c>
      <c r="F60" s="38" t="s">
        <v>29</v>
      </c>
      <c r="G60" s="39">
        <v>6</v>
      </c>
    </row>
    <row r="67" ht="14.25" spans="1:8">
      <c r="A67" s="25" t="s">
        <v>74</v>
      </c>
      <c r="B67" s="25"/>
      <c r="C67" s="25"/>
      <c r="D67" s="25"/>
      <c r="E67" s="25"/>
      <c r="H67" s="40" t="s">
        <v>75</v>
      </c>
    </row>
    <row r="68" ht="14.25" spans="1:8">
      <c r="A68" s="25" t="s">
        <v>76</v>
      </c>
      <c r="B68" s="25"/>
      <c r="C68" s="25"/>
      <c r="D68" s="25"/>
      <c r="E68" s="25"/>
      <c r="G68">
        <v>31170</v>
      </c>
      <c r="H68" t="s">
        <v>76</v>
      </c>
    </row>
    <row r="69" ht="14.25" spans="1:8">
      <c r="A69" s="25" t="s">
        <v>77</v>
      </c>
      <c r="B69" s="25"/>
      <c r="C69" s="25"/>
      <c r="D69" s="25"/>
      <c r="E69" s="25"/>
      <c r="G69">
        <v>31171</v>
      </c>
      <c r="H69" t="s">
        <v>77</v>
      </c>
    </row>
    <row r="70" ht="14.25" spans="1:8">
      <c r="A70" s="25" t="s">
        <v>78</v>
      </c>
      <c r="B70" s="25"/>
      <c r="C70" s="25"/>
      <c r="D70" s="25"/>
      <c r="E70" s="25"/>
      <c r="G70">
        <v>31172</v>
      </c>
      <c r="H70" t="s">
        <v>78</v>
      </c>
    </row>
    <row r="71" ht="14.25" spans="1:8">
      <c r="A71" s="25" t="s">
        <v>79</v>
      </c>
      <c r="B71" s="25"/>
      <c r="C71" s="25"/>
      <c r="D71" s="25"/>
      <c r="E71" s="25"/>
      <c r="G71">
        <v>31173</v>
      </c>
      <c r="H71" t="s">
        <v>79</v>
      </c>
    </row>
    <row r="72" ht="14.25" spans="1:8">
      <c r="A72" s="29"/>
      <c r="B72" s="41" t="s">
        <v>51</v>
      </c>
      <c r="C72" s="25"/>
      <c r="D72" s="25"/>
      <c r="E72" s="25"/>
    </row>
    <row r="73" ht="14.25" spans="1:8">
      <c r="A73" s="29" t="s">
        <v>80</v>
      </c>
      <c r="B73" s="29"/>
      <c r="C73" s="21" t="s">
        <v>50</v>
      </c>
      <c r="D73" s="25"/>
      <c r="E73" s="21" t="s">
        <v>81</v>
      </c>
      <c r="G73">
        <v>31061</v>
      </c>
      <c r="H73" t="s">
        <v>82</v>
      </c>
    </row>
    <row r="74" ht="14.25" spans="1:8">
      <c r="A74" s="29" t="s">
        <v>83</v>
      </c>
      <c r="B74" s="42">
        <v>0.1</v>
      </c>
      <c r="C74" s="25">
        <v>1</v>
      </c>
      <c r="D74" s="25">
        <f t="shared" ref="D74:D77" si="4">B74*C74</f>
        <v>0.1</v>
      </c>
      <c r="E74" s="25">
        <f>D74*10</f>
        <v>1</v>
      </c>
      <c r="G74">
        <v>31062</v>
      </c>
      <c r="H74" t="s">
        <v>84</v>
      </c>
    </row>
    <row r="75" ht="14.25" spans="1:8">
      <c r="A75" s="29" t="s">
        <v>13</v>
      </c>
      <c r="B75" s="42">
        <v>0.25</v>
      </c>
      <c r="C75" s="25">
        <v>1</v>
      </c>
      <c r="D75" s="25">
        <f t="shared" si="4"/>
        <v>0.25</v>
      </c>
      <c r="E75" s="25">
        <f>D75*10</f>
        <v>2.5</v>
      </c>
      <c r="G75">
        <v>31063</v>
      </c>
      <c r="H75" t="s">
        <v>85</v>
      </c>
    </row>
    <row r="76" ht="14.25" spans="1:8">
      <c r="A76" s="29" t="s">
        <v>56</v>
      </c>
      <c r="B76" s="42">
        <v>0.5</v>
      </c>
      <c r="C76" s="25">
        <v>2</v>
      </c>
      <c r="D76" s="25">
        <f t="shared" si="4"/>
        <v>1</v>
      </c>
      <c r="E76" s="25">
        <f>D76*10</f>
        <v>10</v>
      </c>
      <c r="G76">
        <v>31064</v>
      </c>
      <c r="H76" t="s">
        <v>86</v>
      </c>
    </row>
    <row r="77" ht="14.25" spans="1:8">
      <c r="A77" s="29" t="s">
        <v>27</v>
      </c>
      <c r="B77" s="42">
        <v>0.9</v>
      </c>
      <c r="C77" s="25">
        <v>3</v>
      </c>
      <c r="D77" s="25">
        <f t="shared" si="4"/>
        <v>2.7</v>
      </c>
      <c r="E77" s="25">
        <f>D77*12</f>
        <v>32.4</v>
      </c>
    </row>
    <row r="78" ht="14.25" spans="1:8">
      <c r="A78" s="25"/>
      <c r="B78" s="25"/>
      <c r="C78" s="25"/>
      <c r="D78" s="25"/>
      <c r="E78" s="25"/>
    </row>
    <row r="79" ht="14.25" spans="1:8">
      <c r="A79" s="25" t="s">
        <v>87</v>
      </c>
      <c r="B79" s="25"/>
      <c r="C79" s="25"/>
      <c r="D79" s="25"/>
      <c r="E79" s="25"/>
      <c r="G79">
        <v>31173</v>
      </c>
      <c r="H79" t="s">
        <v>88</v>
      </c>
    </row>
    <row r="80" ht="14.25" spans="1:8">
      <c r="A80" s="25" t="s">
        <v>89</v>
      </c>
      <c r="B80" s="25"/>
      <c r="C80" s="25"/>
      <c r="D80" s="25"/>
      <c r="E80" s="25"/>
      <c r="G80">
        <v>31061</v>
      </c>
      <c r="H80" t="s">
        <v>90</v>
      </c>
    </row>
    <row r="81" spans="1:8">
      <c r="G81">
        <v>31170</v>
      </c>
      <c r="H81" t="s">
        <v>91</v>
      </c>
    </row>
    <row r="82" spans="1:8">
      <c r="G82">
        <v>31064</v>
      </c>
      <c r="H82" t="s">
        <v>92</v>
      </c>
    </row>
    <row r="83" spans="1:8">
      <c r="G83">
        <v>31172</v>
      </c>
      <c r="H83" t="s">
        <v>93</v>
      </c>
    </row>
    <row r="84" spans="1:8">
      <c r="G84">
        <v>31171</v>
      </c>
      <c r="H84" t="s">
        <v>94</v>
      </c>
    </row>
    <row r="85" spans="1:8">
      <c r="G85">
        <v>31063</v>
      </c>
      <c r="H85" t="s">
        <v>95</v>
      </c>
    </row>
    <row r="86" ht="14.25" spans="1:8">
      <c r="D86" s="25"/>
      <c r="E86" s="25"/>
      <c r="G86">
        <v>31062</v>
      </c>
      <c r="H86" t="s">
        <v>96</v>
      </c>
    </row>
    <row r="87" ht="14.25" spans="1:8">
      <c r="D87" s="25"/>
      <c r="E87" s="21"/>
    </row>
    <row r="88" ht="14.25" spans="1:8">
      <c r="D88" s="25"/>
      <c r="E88" s="25"/>
    </row>
    <row r="89" ht="14.25" spans="1:8">
      <c r="D89" s="25"/>
      <c r="E89" s="25"/>
    </row>
    <row r="90" ht="14.25" spans="1:8">
      <c r="D90" s="25"/>
      <c r="E90" s="25"/>
    </row>
    <row r="91" ht="14.25" spans="1:8">
      <c r="D91" s="25"/>
      <c r="E91" s="25"/>
    </row>
    <row r="92" ht="14.25" spans="1:8">
      <c r="A92" s="25"/>
      <c r="B92" s="25"/>
      <c r="C92" s="25"/>
      <c r="D92" s="25"/>
      <c r="E92" s="25"/>
    </row>
    <row r="93" ht="14.25" spans="1:8">
      <c r="A93" s="25"/>
      <c r="B93" s="25"/>
      <c r="C93" s="25"/>
      <c r="D93" s="25"/>
      <c r="E93" s="25"/>
    </row>
    <row r="94" ht="14.25" spans="1:8">
      <c r="A94" s="25"/>
      <c r="B94" s="25"/>
      <c r="C94" s="25"/>
      <c r="D94" s="25"/>
      <c r="E94" s="25"/>
    </row>
    <row r="95" spans="1:8">
      <c r="A95" s="18" t="s">
        <v>97</v>
      </c>
    </row>
    <row r="96" spans="1:8">
      <c r="A96" s="18" t="s">
        <v>98</v>
      </c>
      <c r="B96" s="43">
        <v>0.5</v>
      </c>
    </row>
    <row r="97" spans="1:10">
      <c r="A97" s="18" t="s">
        <v>99</v>
      </c>
      <c r="B97" s="43">
        <v>0.5</v>
      </c>
    </row>
    <row r="98" ht="14.25" spans="1:10">
      <c r="A98" s="11"/>
      <c r="B98" s="44" t="s">
        <v>50</v>
      </c>
      <c r="C98" s="45" t="s">
        <v>51</v>
      </c>
      <c r="D98" s="10" t="s">
        <v>52</v>
      </c>
      <c r="E98" s="10" t="s">
        <v>53</v>
      </c>
      <c r="F98" s="10" t="s">
        <v>54</v>
      </c>
      <c r="G98" s="10" t="s">
        <v>55</v>
      </c>
      <c r="H98" s="10" t="s">
        <v>100</v>
      </c>
      <c r="I98" s="10" t="s">
        <v>101</v>
      </c>
      <c r="J98" s="10" t="s">
        <v>102</v>
      </c>
    </row>
    <row r="99" ht="14.25" spans="1:10">
      <c r="A99" s="12" t="s">
        <v>103</v>
      </c>
      <c r="B99" s="46">
        <v>1</v>
      </c>
      <c r="C99" s="47">
        <v>0.1</v>
      </c>
      <c r="D99" s="11">
        <f>B99*C99</f>
        <v>0.1</v>
      </c>
      <c r="E99" s="11">
        <f>D99*10</f>
        <v>1</v>
      </c>
      <c r="F99" s="11">
        <f>E99*4</f>
        <v>4</v>
      </c>
      <c r="G99" s="11">
        <f>F99*3</f>
        <v>12</v>
      </c>
      <c r="H99" s="11">
        <f>F99*16</f>
        <v>64</v>
      </c>
      <c r="I99" s="17">
        <f>H99*0.1</f>
        <v>6.4</v>
      </c>
      <c r="J99" s="11"/>
    </row>
    <row r="100" ht="14.25" spans="1:10">
      <c r="A100" s="13" t="s">
        <v>13</v>
      </c>
      <c r="B100" s="46">
        <v>1</v>
      </c>
      <c r="C100" s="47">
        <v>0.2</v>
      </c>
      <c r="D100" s="11">
        <f t="shared" ref="D100:D102" si="5">B100*C100</f>
        <v>0.2</v>
      </c>
      <c r="E100" s="11">
        <f t="shared" ref="E100:E102" si="6">D100*10</f>
        <v>2</v>
      </c>
      <c r="F100" s="11">
        <f t="shared" ref="F100:F102" si="7">E100*4</f>
        <v>8</v>
      </c>
      <c r="G100" s="11">
        <f>F100*3</f>
        <v>24</v>
      </c>
      <c r="H100" s="11">
        <f>F100*16</f>
        <v>128</v>
      </c>
      <c r="I100" s="17">
        <f>H100*0.1</f>
        <v>12.8</v>
      </c>
      <c r="J100" s="48">
        <f>I100/I99</f>
        <v>2</v>
      </c>
    </row>
    <row r="101" ht="14.25" spans="1:10">
      <c r="A101" s="13" t="s">
        <v>56</v>
      </c>
      <c r="B101" s="46">
        <v>2</v>
      </c>
      <c r="C101" s="47">
        <v>0.3</v>
      </c>
      <c r="D101" s="11">
        <f t="shared" si="5"/>
        <v>0.6</v>
      </c>
      <c r="E101" s="11">
        <f t="shared" si="6"/>
        <v>6</v>
      </c>
      <c r="F101" s="11">
        <f t="shared" si="7"/>
        <v>24</v>
      </c>
      <c r="G101" s="11">
        <f>F101*3</f>
        <v>72</v>
      </c>
      <c r="H101" s="11">
        <f>F101*16</f>
        <v>384</v>
      </c>
      <c r="I101" s="17">
        <f>H101*0.1</f>
        <v>38.4</v>
      </c>
      <c r="J101" s="48">
        <f>I101/I100</f>
        <v>3</v>
      </c>
    </row>
    <row r="102" ht="14.25" spans="1:10">
      <c r="A102" s="13" t="s">
        <v>27</v>
      </c>
      <c r="B102" s="46">
        <v>3</v>
      </c>
      <c r="C102" s="47">
        <v>0.6</v>
      </c>
      <c r="D102" s="11">
        <f t="shared" si="5"/>
        <v>1.8</v>
      </c>
      <c r="E102" s="11">
        <f>D102*12</f>
        <v>21.6</v>
      </c>
      <c r="F102" s="11">
        <f t="shared" si="7"/>
        <v>86.4</v>
      </c>
      <c r="G102" s="11">
        <f>F102*3</f>
        <v>259.2</v>
      </c>
      <c r="H102" s="11">
        <f>F102*16</f>
        <v>1382.4</v>
      </c>
      <c r="I102" s="17">
        <f>H102*0.1</f>
        <v>138.24</v>
      </c>
      <c r="J102" s="48">
        <f>I102/I101</f>
        <v>3.6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H1087"/>
  <sheetViews>
    <sheetView topLeftCell="P1076" workbookViewId="0">
      <selection activeCell="E34" sqref="E34:G38"/>
    </sheetView>
  </sheetViews>
  <sheetFormatPr defaultColWidth="9" defaultRowHeight="13.5" outlineLevelCol="7"/>
  <sheetData>
    <row r="5" spans="7:8">
      <c r="G5" t="s">
        <v>104</v>
      </c>
      <c r="H5">
        <v>31</v>
      </c>
    </row>
    <row r="6" spans="7:8">
      <c r="G6" t="s">
        <v>105</v>
      </c>
      <c r="H6">
        <v>14</v>
      </c>
    </row>
    <row r="7" spans="7:8">
      <c r="G7" t="s">
        <v>106</v>
      </c>
      <c r="H7">
        <v>41</v>
      </c>
    </row>
    <row r="8" spans="7:8">
      <c r="G8" t="s">
        <v>104</v>
      </c>
      <c r="H8">
        <v>31</v>
      </c>
    </row>
    <row r="9" spans="7:8">
      <c r="G9" t="s">
        <v>107</v>
      </c>
      <c r="H9">
        <v>11</v>
      </c>
    </row>
    <row r="10" spans="7:8">
      <c r="G10" t="s">
        <v>106</v>
      </c>
      <c r="H10">
        <v>41</v>
      </c>
    </row>
    <row r="11" spans="7:8">
      <c r="G11" t="s">
        <v>107</v>
      </c>
      <c r="H11">
        <v>11</v>
      </c>
    </row>
    <row r="12" spans="7:8">
      <c r="G12" t="s">
        <v>108</v>
      </c>
      <c r="H12">
        <v>21</v>
      </c>
    </row>
    <row r="13" spans="7:8">
      <c r="G13" t="s">
        <v>109</v>
      </c>
      <c r="H13">
        <v>33</v>
      </c>
    </row>
    <row r="14" spans="7:8">
      <c r="G14" t="s">
        <v>105</v>
      </c>
      <c r="H14">
        <v>14</v>
      </c>
    </row>
    <row r="15" spans="7:8">
      <c r="G15" t="s">
        <v>110</v>
      </c>
      <c r="H15">
        <v>43</v>
      </c>
    </row>
    <row r="16" spans="7:8">
      <c r="G16" t="s">
        <v>107</v>
      </c>
      <c r="H16">
        <v>11</v>
      </c>
    </row>
    <row r="17" spans="7:8">
      <c r="G17" t="s">
        <v>106</v>
      </c>
      <c r="H17">
        <v>41</v>
      </c>
    </row>
    <row r="18" spans="7:8">
      <c r="G18" t="s">
        <v>109</v>
      </c>
      <c r="H18">
        <v>33</v>
      </c>
    </row>
    <row r="19" spans="7:8">
      <c r="G19" t="s">
        <v>108</v>
      </c>
      <c r="H19">
        <v>21</v>
      </c>
    </row>
    <row r="20" spans="7:8">
      <c r="G20" t="s">
        <v>107</v>
      </c>
      <c r="H20">
        <v>11</v>
      </c>
    </row>
    <row r="21" spans="7:8">
      <c r="G21" t="s">
        <v>107</v>
      </c>
      <c r="H21">
        <v>11</v>
      </c>
    </row>
    <row r="22" spans="7:8">
      <c r="G22" t="s">
        <v>108</v>
      </c>
      <c r="H22">
        <v>21</v>
      </c>
    </row>
    <row r="23" spans="7:8">
      <c r="G23" t="s">
        <v>111</v>
      </c>
      <c r="H23">
        <v>23</v>
      </c>
    </row>
    <row r="24" spans="7:8">
      <c r="G24" t="s">
        <v>107</v>
      </c>
      <c r="H24">
        <v>11</v>
      </c>
    </row>
    <row r="25" spans="7:8">
      <c r="G25" t="s">
        <v>105</v>
      </c>
      <c r="H25">
        <v>14</v>
      </c>
    </row>
    <row r="26" spans="7:8">
      <c r="G26" t="s">
        <v>107</v>
      </c>
      <c r="H26">
        <v>11</v>
      </c>
    </row>
    <row r="27" spans="7:8">
      <c r="G27" t="s">
        <v>107</v>
      </c>
      <c r="H27">
        <v>11</v>
      </c>
    </row>
    <row r="28" spans="7:8">
      <c r="G28" t="s">
        <v>106</v>
      </c>
      <c r="H28">
        <v>41</v>
      </c>
    </row>
    <row r="29" spans="7:8">
      <c r="G29" t="s">
        <v>107</v>
      </c>
      <c r="H29">
        <v>11</v>
      </c>
    </row>
    <row r="30" spans="7:8">
      <c r="G30" t="s">
        <v>107</v>
      </c>
      <c r="H30">
        <v>11</v>
      </c>
    </row>
    <row r="31" spans="7:8">
      <c r="G31" t="s">
        <v>107</v>
      </c>
      <c r="H31">
        <v>11</v>
      </c>
    </row>
    <row r="32" spans="7:8">
      <c r="G32" t="s">
        <v>106</v>
      </c>
      <c r="H32">
        <v>41</v>
      </c>
    </row>
    <row r="33" spans="7:8">
      <c r="G33" t="s">
        <v>106</v>
      </c>
      <c r="H33">
        <v>41</v>
      </c>
    </row>
    <row r="34" spans="7:8">
      <c r="G34" t="s">
        <v>107</v>
      </c>
      <c r="H34">
        <v>11</v>
      </c>
    </row>
    <row r="35" spans="7:8">
      <c r="G35" t="s">
        <v>107</v>
      </c>
      <c r="H35">
        <v>11</v>
      </c>
    </row>
    <row r="36" spans="7:8">
      <c r="G36" t="s">
        <v>112</v>
      </c>
      <c r="H36">
        <v>22</v>
      </c>
    </row>
    <row r="37" spans="7:8">
      <c r="G37" t="s">
        <v>106</v>
      </c>
      <c r="H37">
        <v>41</v>
      </c>
    </row>
    <row r="38" spans="7:8">
      <c r="G38" t="s">
        <v>108</v>
      </c>
      <c r="H38">
        <v>21</v>
      </c>
    </row>
    <row r="39" spans="7:8">
      <c r="G39" t="s">
        <v>113</v>
      </c>
      <c r="H39">
        <v>13</v>
      </c>
    </row>
    <row r="40" spans="7:8">
      <c r="G40" t="s">
        <v>110</v>
      </c>
      <c r="H40">
        <v>43</v>
      </c>
    </row>
    <row r="41" spans="7:8">
      <c r="G41" t="s">
        <v>107</v>
      </c>
      <c r="H41">
        <v>11</v>
      </c>
    </row>
    <row r="42" spans="7:8">
      <c r="G42" t="s">
        <v>108</v>
      </c>
      <c r="H42">
        <v>21</v>
      </c>
    </row>
    <row r="43" spans="7:8">
      <c r="G43" t="s">
        <v>106</v>
      </c>
      <c r="H43">
        <v>41</v>
      </c>
    </row>
    <row r="44" spans="7:8">
      <c r="G44" t="s">
        <v>110</v>
      </c>
      <c r="H44">
        <v>43</v>
      </c>
    </row>
    <row r="45" spans="7:8">
      <c r="G45" t="s">
        <v>107</v>
      </c>
      <c r="H45">
        <v>11</v>
      </c>
    </row>
    <row r="46" spans="7:8">
      <c r="G46" t="s">
        <v>110</v>
      </c>
      <c r="H46">
        <v>43</v>
      </c>
    </row>
    <row r="47" spans="7:8">
      <c r="G47" t="s">
        <v>109</v>
      </c>
      <c r="H47">
        <v>33</v>
      </c>
    </row>
    <row r="48" spans="7:8">
      <c r="G48" t="s">
        <v>107</v>
      </c>
      <c r="H48">
        <v>11</v>
      </c>
    </row>
    <row r="49" spans="7:8">
      <c r="G49" t="s">
        <v>104</v>
      </c>
      <c r="H49">
        <v>31</v>
      </c>
    </row>
    <row r="50" spans="7:8">
      <c r="G50" t="s">
        <v>109</v>
      </c>
      <c r="H50">
        <v>33</v>
      </c>
    </row>
    <row r="51" spans="7:8">
      <c r="G51" t="s">
        <v>105</v>
      </c>
      <c r="H51">
        <v>14</v>
      </c>
    </row>
    <row r="52" spans="7:8">
      <c r="G52" t="s">
        <v>104</v>
      </c>
      <c r="H52">
        <v>31</v>
      </c>
    </row>
    <row r="53" spans="7:8">
      <c r="G53" t="s">
        <v>106</v>
      </c>
      <c r="H53">
        <v>41</v>
      </c>
    </row>
    <row r="54" spans="7:8">
      <c r="G54" t="s">
        <v>107</v>
      </c>
      <c r="H54">
        <v>11</v>
      </c>
    </row>
    <row r="55" spans="7:8">
      <c r="G55" t="s">
        <v>108</v>
      </c>
      <c r="H55">
        <v>21</v>
      </c>
    </row>
    <row r="56" spans="7:8">
      <c r="G56" t="s">
        <v>105</v>
      </c>
      <c r="H56">
        <v>14</v>
      </c>
    </row>
    <row r="57" spans="7:8">
      <c r="G57" t="s">
        <v>109</v>
      </c>
      <c r="H57">
        <v>33</v>
      </c>
    </row>
    <row r="58" spans="7:8">
      <c r="G58" t="s">
        <v>106</v>
      </c>
      <c r="H58">
        <v>41</v>
      </c>
    </row>
    <row r="59" spans="7:8">
      <c r="G59" t="s">
        <v>107</v>
      </c>
      <c r="H59">
        <v>11</v>
      </c>
    </row>
    <row r="60" spans="7:8">
      <c r="G60" t="s">
        <v>107</v>
      </c>
      <c r="H60">
        <v>11</v>
      </c>
    </row>
    <row r="61" spans="7:8">
      <c r="G61" t="s">
        <v>106</v>
      </c>
      <c r="H61">
        <v>41</v>
      </c>
    </row>
    <row r="62" spans="7:8">
      <c r="G62" t="s">
        <v>104</v>
      </c>
      <c r="H62">
        <v>31</v>
      </c>
    </row>
    <row r="63" spans="7:8">
      <c r="G63" t="s">
        <v>110</v>
      </c>
      <c r="H63">
        <v>43</v>
      </c>
    </row>
    <row r="64" spans="7:8">
      <c r="G64" t="s">
        <v>114</v>
      </c>
      <c r="H64">
        <v>32</v>
      </c>
    </row>
    <row r="65" spans="7:8">
      <c r="G65" t="s">
        <v>107</v>
      </c>
      <c r="H65">
        <v>11</v>
      </c>
    </row>
    <row r="66" spans="7:8">
      <c r="G66" t="s">
        <v>106</v>
      </c>
      <c r="H66">
        <v>41</v>
      </c>
    </row>
    <row r="67" spans="7:8">
      <c r="G67" t="s">
        <v>113</v>
      </c>
      <c r="H67">
        <v>13</v>
      </c>
    </row>
    <row r="68" spans="7:8">
      <c r="G68" t="s">
        <v>106</v>
      </c>
      <c r="H68">
        <v>41</v>
      </c>
    </row>
    <row r="69" spans="7:8">
      <c r="G69" t="s">
        <v>107</v>
      </c>
      <c r="H69">
        <v>11</v>
      </c>
    </row>
    <row r="70" spans="7:8">
      <c r="G70" t="s">
        <v>114</v>
      </c>
      <c r="H70">
        <v>32</v>
      </c>
    </row>
    <row r="71" spans="7:8">
      <c r="G71" t="s">
        <v>108</v>
      </c>
      <c r="H71">
        <v>21</v>
      </c>
    </row>
    <row r="72" spans="7:8">
      <c r="G72" t="s">
        <v>107</v>
      </c>
      <c r="H72">
        <v>11</v>
      </c>
    </row>
    <row r="73" spans="7:8">
      <c r="G73" t="s">
        <v>106</v>
      </c>
      <c r="H73">
        <v>41</v>
      </c>
    </row>
    <row r="74" spans="7:8">
      <c r="G74" t="s">
        <v>107</v>
      </c>
      <c r="H74">
        <v>11</v>
      </c>
    </row>
    <row r="75" spans="7:8">
      <c r="G75" t="s">
        <v>114</v>
      </c>
      <c r="H75">
        <v>32</v>
      </c>
    </row>
    <row r="76" spans="7:8">
      <c r="G76" t="s">
        <v>109</v>
      </c>
      <c r="H76">
        <v>33</v>
      </c>
    </row>
    <row r="77" spans="7:8">
      <c r="G77" t="s">
        <v>106</v>
      </c>
      <c r="H77">
        <v>41</v>
      </c>
    </row>
    <row r="78" spans="7:8">
      <c r="G78" t="s">
        <v>107</v>
      </c>
      <c r="H78">
        <v>11</v>
      </c>
    </row>
    <row r="79" spans="7:8">
      <c r="G79" t="s">
        <v>109</v>
      </c>
      <c r="H79">
        <v>33</v>
      </c>
    </row>
    <row r="80" spans="7:8">
      <c r="G80" t="s">
        <v>109</v>
      </c>
      <c r="H80">
        <v>33</v>
      </c>
    </row>
    <row r="81" spans="7:8">
      <c r="G81" t="s">
        <v>105</v>
      </c>
      <c r="H81">
        <v>14</v>
      </c>
    </row>
    <row r="82" spans="7:8">
      <c r="G82" t="s">
        <v>108</v>
      </c>
      <c r="H82">
        <v>21</v>
      </c>
    </row>
    <row r="83" spans="7:8">
      <c r="G83" t="s">
        <v>106</v>
      </c>
      <c r="H83">
        <v>41</v>
      </c>
    </row>
    <row r="84" spans="7:8">
      <c r="G84" t="s">
        <v>105</v>
      </c>
      <c r="H84">
        <v>14</v>
      </c>
    </row>
    <row r="85" spans="7:8">
      <c r="G85" t="s">
        <v>110</v>
      </c>
      <c r="H85">
        <v>43</v>
      </c>
    </row>
    <row r="86" spans="7:8">
      <c r="G86" t="s">
        <v>107</v>
      </c>
      <c r="H86">
        <v>11</v>
      </c>
    </row>
    <row r="87" spans="7:8">
      <c r="G87" t="s">
        <v>108</v>
      </c>
      <c r="H87">
        <v>21</v>
      </c>
    </row>
    <row r="88" spans="7:8">
      <c r="G88" t="s">
        <v>105</v>
      </c>
      <c r="H88">
        <v>14</v>
      </c>
    </row>
    <row r="89" spans="7:8">
      <c r="G89" t="s">
        <v>107</v>
      </c>
      <c r="H89">
        <v>11</v>
      </c>
    </row>
    <row r="90" spans="7:8">
      <c r="G90" t="s">
        <v>106</v>
      </c>
      <c r="H90">
        <v>41</v>
      </c>
    </row>
    <row r="91" spans="7:8">
      <c r="G91" t="s">
        <v>108</v>
      </c>
      <c r="H91">
        <v>21</v>
      </c>
    </row>
    <row r="92" spans="7:8">
      <c r="G92" t="s">
        <v>107</v>
      </c>
      <c r="H92">
        <v>11</v>
      </c>
    </row>
    <row r="93" spans="7:8">
      <c r="G93" t="s">
        <v>106</v>
      </c>
      <c r="H93">
        <v>41</v>
      </c>
    </row>
    <row r="94" spans="7:8">
      <c r="G94" t="s">
        <v>110</v>
      </c>
      <c r="H94">
        <v>43</v>
      </c>
    </row>
    <row r="95" spans="7:8">
      <c r="G95" t="s">
        <v>107</v>
      </c>
      <c r="H95">
        <v>11</v>
      </c>
    </row>
    <row r="96" spans="7:8">
      <c r="G96" t="s">
        <v>106</v>
      </c>
      <c r="H96">
        <v>41</v>
      </c>
    </row>
    <row r="97" spans="7:8">
      <c r="G97" t="s">
        <v>107</v>
      </c>
      <c r="H97">
        <v>11</v>
      </c>
    </row>
    <row r="98" spans="7:8">
      <c r="G98" t="s">
        <v>106</v>
      </c>
      <c r="H98">
        <v>41</v>
      </c>
    </row>
    <row r="99" spans="7:8">
      <c r="G99" t="s">
        <v>109</v>
      </c>
      <c r="H99">
        <v>33</v>
      </c>
    </row>
    <row r="100" spans="7:8">
      <c r="G100" t="s">
        <v>112</v>
      </c>
      <c r="H100">
        <v>22</v>
      </c>
    </row>
    <row r="101" spans="7:8">
      <c r="G101" t="s">
        <v>108</v>
      </c>
      <c r="H101">
        <v>21</v>
      </c>
    </row>
    <row r="102" spans="7:8">
      <c r="G102" t="s">
        <v>110</v>
      </c>
      <c r="H102">
        <v>43</v>
      </c>
    </row>
    <row r="103" spans="7:8">
      <c r="G103" t="s">
        <v>111</v>
      </c>
      <c r="H103">
        <v>23</v>
      </c>
    </row>
    <row r="104" spans="7:8">
      <c r="G104" t="s">
        <v>107</v>
      </c>
      <c r="H104">
        <v>11</v>
      </c>
    </row>
    <row r="105" spans="7:8">
      <c r="G105" t="s">
        <v>104</v>
      </c>
      <c r="H105">
        <v>31</v>
      </c>
    </row>
    <row r="106" spans="7:8">
      <c r="G106" t="s">
        <v>110</v>
      </c>
      <c r="H106">
        <v>43</v>
      </c>
    </row>
    <row r="107" spans="7:8">
      <c r="G107" t="s">
        <v>106</v>
      </c>
      <c r="H107">
        <v>41</v>
      </c>
    </row>
    <row r="108" spans="7:8">
      <c r="G108" t="s">
        <v>106</v>
      </c>
      <c r="H108">
        <v>41</v>
      </c>
    </row>
    <row r="109" spans="7:8">
      <c r="G109" t="s">
        <v>104</v>
      </c>
      <c r="H109">
        <v>31</v>
      </c>
    </row>
    <row r="110" spans="7:8">
      <c r="G110" t="s">
        <v>105</v>
      </c>
      <c r="H110">
        <v>14</v>
      </c>
    </row>
    <row r="111" spans="7:8">
      <c r="G111" t="s">
        <v>107</v>
      </c>
      <c r="H111">
        <v>11</v>
      </c>
    </row>
    <row r="112" spans="7:8">
      <c r="G112" t="s">
        <v>110</v>
      </c>
      <c r="H112">
        <v>43</v>
      </c>
    </row>
    <row r="113" spans="7:8">
      <c r="G113" t="s">
        <v>104</v>
      </c>
      <c r="H113">
        <v>31</v>
      </c>
    </row>
    <row r="114" spans="7:8">
      <c r="G114" t="s">
        <v>111</v>
      </c>
      <c r="H114">
        <v>23</v>
      </c>
    </row>
    <row r="115" spans="7:8">
      <c r="G115" t="s">
        <v>106</v>
      </c>
      <c r="H115">
        <v>41</v>
      </c>
    </row>
    <row r="116" spans="7:8">
      <c r="G116" t="s">
        <v>107</v>
      </c>
      <c r="H116">
        <v>11</v>
      </c>
    </row>
    <row r="117" spans="7:8">
      <c r="G117" t="s">
        <v>107</v>
      </c>
      <c r="H117">
        <v>11</v>
      </c>
    </row>
    <row r="118" spans="7:8">
      <c r="G118" t="s">
        <v>107</v>
      </c>
      <c r="H118">
        <v>11</v>
      </c>
    </row>
    <row r="119" spans="7:8">
      <c r="G119" t="s">
        <v>107</v>
      </c>
      <c r="H119">
        <v>11</v>
      </c>
    </row>
    <row r="120" spans="7:8">
      <c r="G120" t="s">
        <v>107</v>
      </c>
      <c r="H120">
        <v>11</v>
      </c>
    </row>
    <row r="121" spans="7:8">
      <c r="G121" t="s">
        <v>107</v>
      </c>
      <c r="H121">
        <v>11</v>
      </c>
    </row>
    <row r="122" spans="7:8">
      <c r="G122" t="s">
        <v>106</v>
      </c>
      <c r="H122">
        <v>41</v>
      </c>
    </row>
    <row r="123" spans="7:8">
      <c r="G123" t="s">
        <v>104</v>
      </c>
      <c r="H123">
        <v>31</v>
      </c>
    </row>
    <row r="124" spans="7:8">
      <c r="G124" t="s">
        <v>107</v>
      </c>
      <c r="H124">
        <v>11</v>
      </c>
    </row>
    <row r="125" spans="7:8">
      <c r="G125" t="s">
        <v>108</v>
      </c>
      <c r="H125">
        <v>21</v>
      </c>
    </row>
    <row r="126" spans="7:8">
      <c r="G126" t="s">
        <v>113</v>
      </c>
      <c r="H126">
        <v>13</v>
      </c>
    </row>
    <row r="127" spans="7:8">
      <c r="G127" t="s">
        <v>105</v>
      </c>
      <c r="H127">
        <v>14</v>
      </c>
    </row>
    <row r="128" spans="7:8">
      <c r="G128" t="s">
        <v>107</v>
      </c>
      <c r="H128">
        <v>11</v>
      </c>
    </row>
    <row r="129" spans="7:8">
      <c r="G129" t="s">
        <v>107</v>
      </c>
      <c r="H129">
        <v>11</v>
      </c>
    </row>
    <row r="130" spans="7:8">
      <c r="G130" t="s">
        <v>107</v>
      </c>
      <c r="H130">
        <v>11</v>
      </c>
    </row>
    <row r="131" spans="7:8">
      <c r="G131" t="s">
        <v>108</v>
      </c>
      <c r="H131">
        <v>21</v>
      </c>
    </row>
    <row r="132" spans="7:8">
      <c r="G132" t="s">
        <v>106</v>
      </c>
      <c r="H132">
        <v>41</v>
      </c>
    </row>
    <row r="133" spans="7:8">
      <c r="G133" t="s">
        <v>108</v>
      </c>
      <c r="H133">
        <v>21</v>
      </c>
    </row>
    <row r="134" spans="7:8">
      <c r="G134" t="s">
        <v>108</v>
      </c>
      <c r="H134">
        <v>21</v>
      </c>
    </row>
    <row r="135" spans="7:8">
      <c r="G135" t="s">
        <v>106</v>
      </c>
      <c r="H135">
        <v>41</v>
      </c>
    </row>
    <row r="136" spans="7:8">
      <c r="G136" t="s">
        <v>107</v>
      </c>
      <c r="H136">
        <v>11</v>
      </c>
    </row>
    <row r="137" spans="7:8">
      <c r="G137" t="s">
        <v>110</v>
      </c>
      <c r="H137">
        <v>43</v>
      </c>
    </row>
    <row r="138" spans="7:8">
      <c r="G138" t="s">
        <v>105</v>
      </c>
      <c r="H138">
        <v>14</v>
      </c>
    </row>
    <row r="139" spans="7:8">
      <c r="G139" t="s">
        <v>110</v>
      </c>
      <c r="H139">
        <v>43</v>
      </c>
    </row>
    <row r="140" spans="7:8">
      <c r="G140" t="s">
        <v>105</v>
      </c>
      <c r="H140">
        <v>14</v>
      </c>
    </row>
    <row r="141" spans="7:8">
      <c r="G141" t="s">
        <v>107</v>
      </c>
      <c r="H141">
        <v>11</v>
      </c>
    </row>
    <row r="142" spans="7:8">
      <c r="G142" t="s">
        <v>106</v>
      </c>
      <c r="H142">
        <v>41</v>
      </c>
    </row>
    <row r="143" spans="7:8">
      <c r="G143" t="s">
        <v>112</v>
      </c>
      <c r="H143">
        <v>22</v>
      </c>
    </row>
    <row r="144" spans="7:8">
      <c r="G144" t="s">
        <v>107</v>
      </c>
      <c r="H144">
        <v>11</v>
      </c>
    </row>
    <row r="145" spans="7:8">
      <c r="G145" t="s">
        <v>110</v>
      </c>
      <c r="H145">
        <v>43</v>
      </c>
    </row>
    <row r="146" spans="7:8">
      <c r="G146" t="s">
        <v>107</v>
      </c>
      <c r="H146">
        <v>11</v>
      </c>
    </row>
    <row r="147" spans="7:8">
      <c r="G147" t="s">
        <v>109</v>
      </c>
      <c r="H147">
        <v>33</v>
      </c>
    </row>
    <row r="148" spans="7:8">
      <c r="G148" t="s">
        <v>107</v>
      </c>
      <c r="H148">
        <v>11</v>
      </c>
    </row>
    <row r="149" spans="7:8">
      <c r="G149" t="s">
        <v>104</v>
      </c>
      <c r="H149">
        <v>31</v>
      </c>
    </row>
    <row r="150" spans="7:8">
      <c r="G150" t="s">
        <v>104</v>
      </c>
      <c r="H150">
        <v>31</v>
      </c>
    </row>
    <row r="151" spans="7:8">
      <c r="G151" t="s">
        <v>106</v>
      </c>
      <c r="H151">
        <v>41</v>
      </c>
    </row>
    <row r="152" spans="7:8">
      <c r="G152" t="s">
        <v>107</v>
      </c>
      <c r="H152">
        <v>11</v>
      </c>
    </row>
    <row r="153" spans="7:8">
      <c r="G153" t="s">
        <v>107</v>
      </c>
      <c r="H153">
        <v>11</v>
      </c>
    </row>
    <row r="154" spans="7:8">
      <c r="G154" t="s">
        <v>107</v>
      </c>
      <c r="H154">
        <v>11</v>
      </c>
    </row>
    <row r="155" spans="7:8">
      <c r="G155" t="s">
        <v>107</v>
      </c>
      <c r="H155">
        <v>11</v>
      </c>
    </row>
    <row r="156" spans="7:8">
      <c r="G156" t="s">
        <v>111</v>
      </c>
      <c r="H156">
        <v>23</v>
      </c>
    </row>
    <row r="157" spans="7:8">
      <c r="G157" t="s">
        <v>108</v>
      </c>
      <c r="H157">
        <v>21</v>
      </c>
    </row>
    <row r="158" spans="7:8">
      <c r="G158" t="s">
        <v>106</v>
      </c>
      <c r="H158">
        <v>41</v>
      </c>
    </row>
    <row r="159" spans="7:8">
      <c r="G159" t="s">
        <v>106</v>
      </c>
      <c r="H159">
        <v>41</v>
      </c>
    </row>
    <row r="160" spans="7:8">
      <c r="G160" t="s">
        <v>107</v>
      </c>
      <c r="H160">
        <v>11</v>
      </c>
    </row>
    <row r="161" spans="7:8">
      <c r="G161" t="s">
        <v>107</v>
      </c>
      <c r="H161">
        <v>11</v>
      </c>
    </row>
    <row r="162" spans="7:8">
      <c r="G162" t="s">
        <v>108</v>
      </c>
      <c r="H162">
        <v>21</v>
      </c>
    </row>
    <row r="163" spans="7:8">
      <c r="G163" t="s">
        <v>107</v>
      </c>
      <c r="H163">
        <v>11</v>
      </c>
    </row>
    <row r="164" spans="7:8">
      <c r="G164" t="s">
        <v>108</v>
      </c>
      <c r="H164">
        <v>21</v>
      </c>
    </row>
    <row r="165" spans="7:8">
      <c r="G165" t="s">
        <v>113</v>
      </c>
      <c r="H165">
        <v>13</v>
      </c>
    </row>
    <row r="166" spans="7:8">
      <c r="G166" t="s">
        <v>107</v>
      </c>
      <c r="H166">
        <v>11</v>
      </c>
    </row>
    <row r="167" spans="7:8">
      <c r="G167" t="s">
        <v>107</v>
      </c>
      <c r="H167">
        <v>11</v>
      </c>
    </row>
    <row r="168" spans="7:8">
      <c r="G168" t="s">
        <v>109</v>
      </c>
      <c r="H168">
        <v>33</v>
      </c>
    </row>
    <row r="169" spans="7:8">
      <c r="G169" t="s">
        <v>106</v>
      </c>
      <c r="H169">
        <v>41</v>
      </c>
    </row>
    <row r="170" spans="7:8">
      <c r="G170" t="s">
        <v>107</v>
      </c>
      <c r="H170">
        <v>11</v>
      </c>
    </row>
    <row r="171" spans="7:8">
      <c r="G171" t="s">
        <v>106</v>
      </c>
      <c r="H171">
        <v>41</v>
      </c>
    </row>
    <row r="172" spans="7:8">
      <c r="G172" t="s">
        <v>105</v>
      </c>
      <c r="H172">
        <v>14</v>
      </c>
    </row>
    <row r="173" spans="7:8">
      <c r="G173" t="s">
        <v>106</v>
      </c>
      <c r="H173">
        <v>41</v>
      </c>
    </row>
    <row r="174" spans="7:8">
      <c r="G174" t="s">
        <v>107</v>
      </c>
      <c r="H174">
        <v>11</v>
      </c>
    </row>
    <row r="175" spans="7:8">
      <c r="G175" t="s">
        <v>107</v>
      </c>
      <c r="H175">
        <v>11</v>
      </c>
    </row>
    <row r="176" spans="7:8">
      <c r="G176" t="s">
        <v>104</v>
      </c>
      <c r="H176">
        <v>31</v>
      </c>
    </row>
    <row r="177" spans="7:8">
      <c r="G177" t="s">
        <v>110</v>
      </c>
      <c r="H177">
        <v>43</v>
      </c>
    </row>
    <row r="178" spans="7:8">
      <c r="G178" t="s">
        <v>107</v>
      </c>
      <c r="H178">
        <v>11</v>
      </c>
    </row>
    <row r="179" spans="7:8">
      <c r="G179" t="s">
        <v>108</v>
      </c>
      <c r="H179">
        <v>21</v>
      </c>
    </row>
    <row r="180" spans="7:8">
      <c r="G180" t="s">
        <v>108</v>
      </c>
      <c r="H180">
        <v>21</v>
      </c>
    </row>
    <row r="181" spans="7:8">
      <c r="G181" t="s">
        <v>106</v>
      </c>
      <c r="H181">
        <v>41</v>
      </c>
    </row>
    <row r="182" spans="7:8">
      <c r="G182" t="s">
        <v>107</v>
      </c>
      <c r="H182">
        <v>11</v>
      </c>
    </row>
    <row r="183" spans="7:8">
      <c r="G183" t="s">
        <v>106</v>
      </c>
      <c r="H183">
        <v>41</v>
      </c>
    </row>
    <row r="184" spans="7:8">
      <c r="G184" t="s">
        <v>106</v>
      </c>
      <c r="H184">
        <v>41</v>
      </c>
    </row>
    <row r="185" spans="7:8">
      <c r="G185" t="s">
        <v>107</v>
      </c>
      <c r="H185">
        <v>11</v>
      </c>
    </row>
    <row r="186" spans="7:8">
      <c r="G186" t="s">
        <v>104</v>
      </c>
      <c r="H186">
        <v>31</v>
      </c>
    </row>
    <row r="187" spans="7:8">
      <c r="G187" t="s">
        <v>110</v>
      </c>
      <c r="H187">
        <v>43</v>
      </c>
    </row>
    <row r="188" spans="7:8">
      <c r="G188" t="s">
        <v>110</v>
      </c>
      <c r="H188">
        <v>43</v>
      </c>
    </row>
    <row r="189" spans="7:8">
      <c r="G189" t="s">
        <v>110</v>
      </c>
      <c r="H189">
        <v>43</v>
      </c>
    </row>
    <row r="190" spans="7:8">
      <c r="G190" t="s">
        <v>111</v>
      </c>
      <c r="H190">
        <v>23</v>
      </c>
    </row>
    <row r="191" spans="7:8">
      <c r="G191" t="s">
        <v>110</v>
      </c>
      <c r="H191">
        <v>43</v>
      </c>
    </row>
    <row r="192" spans="7:8">
      <c r="G192" t="s">
        <v>107</v>
      </c>
      <c r="H192">
        <v>11</v>
      </c>
    </row>
    <row r="193" spans="7:8">
      <c r="G193" t="s">
        <v>108</v>
      </c>
      <c r="H193">
        <v>21</v>
      </c>
    </row>
    <row r="194" spans="7:8">
      <c r="G194" t="s">
        <v>107</v>
      </c>
      <c r="H194">
        <v>11</v>
      </c>
    </row>
    <row r="195" spans="7:8">
      <c r="G195" t="s">
        <v>107</v>
      </c>
      <c r="H195">
        <v>11</v>
      </c>
    </row>
    <row r="196" spans="7:8">
      <c r="G196" t="s">
        <v>106</v>
      </c>
      <c r="H196">
        <v>41</v>
      </c>
    </row>
    <row r="197" spans="7:8">
      <c r="G197" t="s">
        <v>108</v>
      </c>
      <c r="H197">
        <v>21</v>
      </c>
    </row>
    <row r="198" spans="7:8">
      <c r="G198" t="s">
        <v>107</v>
      </c>
      <c r="H198">
        <v>11</v>
      </c>
    </row>
    <row r="199" spans="7:8">
      <c r="G199" t="s">
        <v>107</v>
      </c>
      <c r="H199">
        <v>11</v>
      </c>
    </row>
    <row r="200" spans="7:8">
      <c r="G200" t="s">
        <v>108</v>
      </c>
      <c r="H200">
        <v>21</v>
      </c>
    </row>
    <row r="201" spans="7:8">
      <c r="G201" t="s">
        <v>113</v>
      </c>
      <c r="H201">
        <v>13</v>
      </c>
    </row>
    <row r="202" spans="7:8">
      <c r="G202" t="s">
        <v>111</v>
      </c>
      <c r="H202">
        <v>23</v>
      </c>
    </row>
    <row r="203" spans="7:8">
      <c r="G203" t="s">
        <v>104</v>
      </c>
      <c r="H203">
        <v>31</v>
      </c>
    </row>
    <row r="204" spans="7:8">
      <c r="G204" t="s">
        <v>104</v>
      </c>
      <c r="H204">
        <v>31</v>
      </c>
    </row>
    <row r="205" spans="7:8">
      <c r="G205" t="s">
        <v>106</v>
      </c>
      <c r="H205">
        <v>41</v>
      </c>
    </row>
    <row r="206" spans="7:8">
      <c r="G206" t="s">
        <v>110</v>
      </c>
      <c r="H206">
        <v>43</v>
      </c>
    </row>
    <row r="207" spans="7:8">
      <c r="G207" t="s">
        <v>110</v>
      </c>
      <c r="H207">
        <v>43</v>
      </c>
    </row>
    <row r="208" spans="7:8">
      <c r="G208" t="s">
        <v>110</v>
      </c>
      <c r="H208">
        <v>43</v>
      </c>
    </row>
    <row r="209" spans="7:8">
      <c r="G209" t="s">
        <v>106</v>
      </c>
      <c r="H209">
        <v>41</v>
      </c>
    </row>
    <row r="210" spans="7:8">
      <c r="G210" t="s">
        <v>108</v>
      </c>
      <c r="H210">
        <v>21</v>
      </c>
    </row>
    <row r="211" spans="7:8">
      <c r="G211" t="s">
        <v>106</v>
      </c>
      <c r="H211">
        <v>41</v>
      </c>
    </row>
    <row r="212" spans="7:8">
      <c r="G212" t="s">
        <v>109</v>
      </c>
      <c r="H212">
        <v>33</v>
      </c>
    </row>
    <row r="213" spans="7:8">
      <c r="G213" t="s">
        <v>106</v>
      </c>
      <c r="H213">
        <v>41</v>
      </c>
    </row>
    <row r="214" spans="7:8">
      <c r="G214" t="s">
        <v>108</v>
      </c>
      <c r="H214">
        <v>21</v>
      </c>
    </row>
    <row r="215" spans="7:8">
      <c r="G215" t="s">
        <v>106</v>
      </c>
      <c r="H215">
        <v>41</v>
      </c>
    </row>
    <row r="216" spans="7:8">
      <c r="G216" t="s">
        <v>108</v>
      </c>
      <c r="H216">
        <v>21</v>
      </c>
    </row>
    <row r="217" spans="7:8">
      <c r="G217" t="s">
        <v>110</v>
      </c>
      <c r="H217">
        <v>43</v>
      </c>
    </row>
    <row r="218" spans="7:8">
      <c r="G218" t="s">
        <v>107</v>
      </c>
      <c r="H218">
        <v>11</v>
      </c>
    </row>
    <row r="219" spans="7:8">
      <c r="G219" t="s">
        <v>105</v>
      </c>
      <c r="H219">
        <v>14</v>
      </c>
    </row>
    <row r="220" spans="7:8">
      <c r="G220" t="s">
        <v>107</v>
      </c>
      <c r="H220">
        <v>11</v>
      </c>
    </row>
    <row r="221" spans="7:8">
      <c r="G221" t="s">
        <v>105</v>
      </c>
      <c r="H221">
        <v>14</v>
      </c>
    </row>
    <row r="222" spans="7:8">
      <c r="G222" t="s">
        <v>106</v>
      </c>
      <c r="H222">
        <v>41</v>
      </c>
    </row>
    <row r="223" spans="7:8">
      <c r="G223" t="s">
        <v>108</v>
      </c>
      <c r="H223">
        <v>21</v>
      </c>
    </row>
    <row r="224" spans="7:8">
      <c r="G224" t="s">
        <v>105</v>
      </c>
      <c r="H224">
        <v>14</v>
      </c>
    </row>
    <row r="225" spans="7:8">
      <c r="G225" t="s">
        <v>108</v>
      </c>
      <c r="H225">
        <v>21</v>
      </c>
    </row>
    <row r="226" spans="7:8">
      <c r="G226" t="s">
        <v>105</v>
      </c>
      <c r="H226">
        <v>14</v>
      </c>
    </row>
    <row r="227" spans="7:8">
      <c r="G227" t="s">
        <v>107</v>
      </c>
      <c r="H227">
        <v>11</v>
      </c>
    </row>
    <row r="228" spans="7:8">
      <c r="G228" t="s">
        <v>107</v>
      </c>
      <c r="H228">
        <v>11</v>
      </c>
    </row>
    <row r="229" spans="7:8">
      <c r="G229" t="s">
        <v>107</v>
      </c>
      <c r="H229">
        <v>11</v>
      </c>
    </row>
    <row r="230" spans="7:8">
      <c r="G230" t="s">
        <v>106</v>
      </c>
      <c r="H230">
        <v>41</v>
      </c>
    </row>
    <row r="231" spans="7:8">
      <c r="G231" t="s">
        <v>107</v>
      </c>
      <c r="H231">
        <v>11</v>
      </c>
    </row>
    <row r="232" spans="7:8">
      <c r="G232" t="s">
        <v>106</v>
      </c>
      <c r="H232">
        <v>41</v>
      </c>
    </row>
    <row r="233" spans="7:8">
      <c r="G233" t="s">
        <v>106</v>
      </c>
      <c r="H233">
        <v>41</v>
      </c>
    </row>
    <row r="234" spans="7:8">
      <c r="G234" t="s">
        <v>104</v>
      </c>
      <c r="H234">
        <v>31</v>
      </c>
    </row>
    <row r="235" spans="7:8">
      <c r="G235" t="s">
        <v>108</v>
      </c>
      <c r="H235">
        <v>21</v>
      </c>
    </row>
    <row r="236" spans="7:8">
      <c r="G236" t="s">
        <v>111</v>
      </c>
      <c r="H236">
        <v>23</v>
      </c>
    </row>
    <row r="237" spans="7:8">
      <c r="G237" t="s">
        <v>106</v>
      </c>
      <c r="H237">
        <v>41</v>
      </c>
    </row>
    <row r="238" spans="7:8">
      <c r="G238" t="s">
        <v>105</v>
      </c>
      <c r="H238">
        <v>14</v>
      </c>
    </row>
    <row r="239" spans="7:8">
      <c r="G239" t="s">
        <v>107</v>
      </c>
      <c r="H239">
        <v>11</v>
      </c>
    </row>
    <row r="240" spans="7:8">
      <c r="G240" t="s">
        <v>109</v>
      </c>
      <c r="H240">
        <v>33</v>
      </c>
    </row>
    <row r="241" spans="7:8">
      <c r="G241" t="s">
        <v>107</v>
      </c>
      <c r="H241">
        <v>11</v>
      </c>
    </row>
    <row r="242" spans="7:8">
      <c r="G242" t="s">
        <v>109</v>
      </c>
      <c r="H242">
        <v>33</v>
      </c>
    </row>
    <row r="243" spans="7:8">
      <c r="G243" t="s">
        <v>108</v>
      </c>
      <c r="H243">
        <v>21</v>
      </c>
    </row>
    <row r="244" spans="7:8">
      <c r="G244" t="s">
        <v>106</v>
      </c>
      <c r="H244">
        <v>41</v>
      </c>
    </row>
    <row r="245" spans="7:8">
      <c r="G245" t="s">
        <v>106</v>
      </c>
      <c r="H245">
        <v>41</v>
      </c>
    </row>
    <row r="246" spans="7:8">
      <c r="G246" t="s">
        <v>108</v>
      </c>
      <c r="H246">
        <v>21</v>
      </c>
    </row>
    <row r="247" spans="7:8">
      <c r="G247" t="s">
        <v>114</v>
      </c>
      <c r="H247">
        <v>32</v>
      </c>
    </row>
    <row r="248" spans="7:8">
      <c r="G248" t="s">
        <v>105</v>
      </c>
      <c r="H248">
        <v>14</v>
      </c>
    </row>
    <row r="249" spans="7:8">
      <c r="G249" t="s">
        <v>107</v>
      </c>
      <c r="H249">
        <v>11</v>
      </c>
    </row>
    <row r="250" spans="7:8">
      <c r="G250" t="s">
        <v>107</v>
      </c>
      <c r="H250">
        <v>11</v>
      </c>
    </row>
    <row r="251" spans="7:8">
      <c r="G251" t="s">
        <v>109</v>
      </c>
      <c r="H251">
        <v>33</v>
      </c>
    </row>
    <row r="252" spans="7:8">
      <c r="G252" t="s">
        <v>113</v>
      </c>
      <c r="H252">
        <v>13</v>
      </c>
    </row>
    <row r="253" spans="7:8">
      <c r="G253" t="s">
        <v>108</v>
      </c>
      <c r="H253">
        <v>21</v>
      </c>
    </row>
    <row r="254" spans="7:8">
      <c r="G254" t="s">
        <v>105</v>
      </c>
      <c r="H254">
        <v>14</v>
      </c>
    </row>
    <row r="255" spans="7:8">
      <c r="G255" t="s">
        <v>106</v>
      </c>
      <c r="H255">
        <v>41</v>
      </c>
    </row>
    <row r="256" spans="7:8">
      <c r="G256" t="s">
        <v>110</v>
      </c>
      <c r="H256">
        <v>43</v>
      </c>
    </row>
    <row r="257" spans="7:8">
      <c r="G257" t="s">
        <v>106</v>
      </c>
      <c r="H257">
        <v>41</v>
      </c>
    </row>
    <row r="258" spans="7:8">
      <c r="G258" t="s">
        <v>107</v>
      </c>
      <c r="H258">
        <v>11</v>
      </c>
    </row>
    <row r="259" spans="7:8">
      <c r="G259" t="s">
        <v>110</v>
      </c>
      <c r="H259">
        <v>43</v>
      </c>
    </row>
    <row r="260" spans="7:8">
      <c r="G260" t="s">
        <v>109</v>
      </c>
      <c r="H260">
        <v>33</v>
      </c>
    </row>
    <row r="261" spans="7:8">
      <c r="G261" t="s">
        <v>106</v>
      </c>
      <c r="H261">
        <v>41</v>
      </c>
    </row>
    <row r="262" spans="7:8">
      <c r="G262" t="s">
        <v>107</v>
      </c>
      <c r="H262">
        <v>11</v>
      </c>
    </row>
    <row r="263" spans="7:8">
      <c r="G263" t="s">
        <v>105</v>
      </c>
      <c r="H263">
        <v>14</v>
      </c>
    </row>
    <row r="264" spans="7:8">
      <c r="G264" t="s">
        <v>107</v>
      </c>
      <c r="H264">
        <v>11</v>
      </c>
    </row>
    <row r="265" spans="7:8">
      <c r="G265" t="s">
        <v>107</v>
      </c>
      <c r="H265">
        <v>11</v>
      </c>
    </row>
    <row r="266" spans="7:8">
      <c r="G266" t="s">
        <v>106</v>
      </c>
      <c r="H266">
        <v>41</v>
      </c>
    </row>
    <row r="267" spans="7:8">
      <c r="G267" t="s">
        <v>105</v>
      </c>
      <c r="H267">
        <v>14</v>
      </c>
    </row>
    <row r="268" spans="7:8">
      <c r="G268" t="s">
        <v>113</v>
      </c>
      <c r="H268">
        <v>13</v>
      </c>
    </row>
    <row r="269" spans="7:8">
      <c r="G269" t="s">
        <v>109</v>
      </c>
      <c r="H269">
        <v>33</v>
      </c>
    </row>
    <row r="270" spans="7:8">
      <c r="G270" t="s">
        <v>113</v>
      </c>
      <c r="H270">
        <v>13</v>
      </c>
    </row>
    <row r="271" spans="7:8">
      <c r="G271" t="s">
        <v>105</v>
      </c>
      <c r="H271">
        <v>14</v>
      </c>
    </row>
    <row r="272" spans="7:8">
      <c r="G272" t="s">
        <v>106</v>
      </c>
      <c r="H272">
        <v>41</v>
      </c>
    </row>
    <row r="273" spans="7:8">
      <c r="G273" t="s">
        <v>107</v>
      </c>
      <c r="H273">
        <v>11</v>
      </c>
    </row>
    <row r="274" spans="7:8">
      <c r="G274" t="s">
        <v>108</v>
      </c>
      <c r="H274">
        <v>21</v>
      </c>
    </row>
    <row r="275" spans="7:8">
      <c r="G275" t="s">
        <v>114</v>
      </c>
      <c r="H275">
        <v>32</v>
      </c>
    </row>
    <row r="276" spans="7:8">
      <c r="G276" t="s">
        <v>106</v>
      </c>
      <c r="H276">
        <v>41</v>
      </c>
    </row>
    <row r="277" spans="7:8">
      <c r="G277" t="s">
        <v>107</v>
      </c>
      <c r="H277">
        <v>11</v>
      </c>
    </row>
    <row r="278" spans="7:8">
      <c r="G278" t="s">
        <v>105</v>
      </c>
      <c r="H278">
        <v>14</v>
      </c>
    </row>
    <row r="279" spans="7:8">
      <c r="G279" t="s">
        <v>107</v>
      </c>
      <c r="H279">
        <v>11</v>
      </c>
    </row>
    <row r="280" spans="7:8">
      <c r="G280" t="s">
        <v>114</v>
      </c>
      <c r="H280">
        <v>32</v>
      </c>
    </row>
    <row r="281" spans="7:8">
      <c r="G281" t="s">
        <v>110</v>
      </c>
      <c r="H281">
        <v>43</v>
      </c>
    </row>
    <row r="282" spans="7:8">
      <c r="G282" t="s">
        <v>108</v>
      </c>
      <c r="H282">
        <v>21</v>
      </c>
    </row>
    <row r="283" spans="7:8">
      <c r="G283" t="s">
        <v>104</v>
      </c>
      <c r="H283">
        <v>31</v>
      </c>
    </row>
    <row r="284" spans="7:8">
      <c r="G284" t="s">
        <v>106</v>
      </c>
      <c r="H284">
        <v>41</v>
      </c>
    </row>
    <row r="285" spans="7:8">
      <c r="G285" t="s">
        <v>108</v>
      </c>
      <c r="H285">
        <v>21</v>
      </c>
    </row>
    <row r="286" spans="7:8">
      <c r="G286" t="s">
        <v>106</v>
      </c>
      <c r="H286">
        <v>41</v>
      </c>
    </row>
    <row r="287" spans="7:8">
      <c r="G287" t="s">
        <v>107</v>
      </c>
      <c r="H287">
        <v>11</v>
      </c>
    </row>
    <row r="288" spans="7:8">
      <c r="G288" t="s">
        <v>108</v>
      </c>
      <c r="H288">
        <v>21</v>
      </c>
    </row>
    <row r="289" spans="7:8">
      <c r="G289" t="s">
        <v>108</v>
      </c>
      <c r="H289">
        <v>21</v>
      </c>
    </row>
    <row r="290" spans="7:8">
      <c r="G290" t="s">
        <v>106</v>
      </c>
      <c r="H290">
        <v>41</v>
      </c>
    </row>
    <row r="291" spans="7:8">
      <c r="G291" t="s">
        <v>105</v>
      </c>
      <c r="H291">
        <v>14</v>
      </c>
    </row>
    <row r="292" spans="7:8">
      <c r="G292" t="s">
        <v>110</v>
      </c>
      <c r="H292">
        <v>43</v>
      </c>
    </row>
    <row r="293" spans="7:8">
      <c r="G293" t="s">
        <v>107</v>
      </c>
      <c r="H293">
        <v>11</v>
      </c>
    </row>
    <row r="294" spans="7:8">
      <c r="G294" t="s">
        <v>108</v>
      </c>
      <c r="H294">
        <v>21</v>
      </c>
    </row>
    <row r="295" spans="7:8">
      <c r="G295" t="s">
        <v>106</v>
      </c>
      <c r="H295">
        <v>41</v>
      </c>
    </row>
    <row r="296" spans="7:8">
      <c r="G296" t="s">
        <v>107</v>
      </c>
      <c r="H296">
        <v>11</v>
      </c>
    </row>
    <row r="297" spans="7:8">
      <c r="G297" t="s">
        <v>110</v>
      </c>
      <c r="H297">
        <v>43</v>
      </c>
    </row>
    <row r="298" spans="7:8">
      <c r="G298" t="s">
        <v>104</v>
      </c>
      <c r="H298">
        <v>31</v>
      </c>
    </row>
    <row r="299" spans="7:8">
      <c r="G299" t="s">
        <v>107</v>
      </c>
      <c r="H299">
        <v>11</v>
      </c>
    </row>
    <row r="300" spans="7:8">
      <c r="G300" t="s">
        <v>106</v>
      </c>
      <c r="H300">
        <v>41</v>
      </c>
    </row>
    <row r="301" spans="7:8">
      <c r="G301" t="s">
        <v>107</v>
      </c>
      <c r="H301">
        <v>11</v>
      </c>
    </row>
    <row r="302" spans="7:8">
      <c r="G302" t="s">
        <v>107</v>
      </c>
      <c r="H302">
        <v>11</v>
      </c>
    </row>
    <row r="303" spans="7:8">
      <c r="G303" t="s">
        <v>108</v>
      </c>
      <c r="H303">
        <v>21</v>
      </c>
    </row>
    <row r="304" spans="7:8">
      <c r="G304" t="s">
        <v>108</v>
      </c>
      <c r="H304">
        <v>21</v>
      </c>
    </row>
    <row r="305" spans="7:8">
      <c r="G305" t="s">
        <v>109</v>
      </c>
      <c r="H305">
        <v>33</v>
      </c>
    </row>
    <row r="306" spans="7:8">
      <c r="G306" t="s">
        <v>106</v>
      </c>
      <c r="H306">
        <v>41</v>
      </c>
    </row>
    <row r="307" spans="7:8">
      <c r="G307" t="s">
        <v>106</v>
      </c>
      <c r="H307">
        <v>41</v>
      </c>
    </row>
    <row r="308" spans="7:8">
      <c r="G308" t="s">
        <v>112</v>
      </c>
      <c r="H308">
        <v>22</v>
      </c>
    </row>
    <row r="309" spans="7:8">
      <c r="G309" t="s">
        <v>106</v>
      </c>
      <c r="H309">
        <v>41</v>
      </c>
    </row>
    <row r="310" spans="7:8">
      <c r="G310" t="s">
        <v>108</v>
      </c>
      <c r="H310">
        <v>21</v>
      </c>
    </row>
    <row r="311" spans="7:8">
      <c r="G311" t="s">
        <v>108</v>
      </c>
      <c r="H311">
        <v>21</v>
      </c>
    </row>
    <row r="312" spans="7:8">
      <c r="G312" t="s">
        <v>112</v>
      </c>
      <c r="H312">
        <v>22</v>
      </c>
    </row>
    <row r="313" spans="7:8">
      <c r="G313" t="s">
        <v>113</v>
      </c>
      <c r="H313">
        <v>13</v>
      </c>
    </row>
    <row r="314" spans="7:8">
      <c r="G314" t="s">
        <v>113</v>
      </c>
      <c r="H314">
        <v>13</v>
      </c>
    </row>
    <row r="315" spans="7:8">
      <c r="G315" t="s">
        <v>110</v>
      </c>
      <c r="H315">
        <v>43</v>
      </c>
    </row>
    <row r="316" spans="7:8">
      <c r="G316" t="s">
        <v>108</v>
      </c>
      <c r="H316">
        <v>21</v>
      </c>
    </row>
    <row r="317" spans="7:8">
      <c r="G317" t="s">
        <v>107</v>
      </c>
      <c r="H317">
        <v>11</v>
      </c>
    </row>
    <row r="318" spans="7:8">
      <c r="G318" t="s">
        <v>110</v>
      </c>
      <c r="H318">
        <v>43</v>
      </c>
    </row>
    <row r="319" spans="7:8">
      <c r="G319" t="s">
        <v>108</v>
      </c>
      <c r="H319">
        <v>21</v>
      </c>
    </row>
    <row r="320" spans="7:8">
      <c r="G320" t="s">
        <v>111</v>
      </c>
      <c r="H320">
        <v>23</v>
      </c>
    </row>
    <row r="321" spans="7:8">
      <c r="G321" t="s">
        <v>112</v>
      </c>
      <c r="H321">
        <v>22</v>
      </c>
    </row>
    <row r="322" spans="7:8">
      <c r="G322" t="s">
        <v>107</v>
      </c>
      <c r="H322">
        <v>11</v>
      </c>
    </row>
    <row r="323" spans="7:8">
      <c r="G323" t="s">
        <v>111</v>
      </c>
      <c r="H323">
        <v>23</v>
      </c>
    </row>
    <row r="324" spans="7:8">
      <c r="G324" t="s">
        <v>106</v>
      </c>
      <c r="H324">
        <v>41</v>
      </c>
    </row>
    <row r="325" spans="7:8">
      <c r="G325" t="s">
        <v>106</v>
      </c>
      <c r="H325">
        <v>41</v>
      </c>
    </row>
    <row r="326" spans="7:8">
      <c r="G326" t="s">
        <v>105</v>
      </c>
      <c r="H326">
        <v>14</v>
      </c>
    </row>
    <row r="327" spans="7:8">
      <c r="G327" t="s">
        <v>106</v>
      </c>
      <c r="H327">
        <v>41</v>
      </c>
    </row>
    <row r="328" spans="7:8">
      <c r="G328" t="s">
        <v>113</v>
      </c>
      <c r="H328">
        <v>13</v>
      </c>
    </row>
    <row r="329" spans="7:8">
      <c r="G329" t="s">
        <v>110</v>
      </c>
      <c r="H329">
        <v>43</v>
      </c>
    </row>
    <row r="330" spans="7:8">
      <c r="G330" t="s">
        <v>105</v>
      </c>
      <c r="H330">
        <v>14</v>
      </c>
    </row>
    <row r="331" spans="7:8">
      <c r="G331" t="s">
        <v>109</v>
      </c>
      <c r="H331">
        <v>33</v>
      </c>
    </row>
    <row r="332" spans="7:8">
      <c r="G332" t="s">
        <v>107</v>
      </c>
      <c r="H332">
        <v>11</v>
      </c>
    </row>
    <row r="333" spans="7:8">
      <c r="G333" t="s">
        <v>105</v>
      </c>
      <c r="H333">
        <v>14</v>
      </c>
    </row>
    <row r="334" spans="7:8">
      <c r="G334" t="s">
        <v>115</v>
      </c>
      <c r="H334">
        <v>24</v>
      </c>
    </row>
    <row r="335" spans="7:8">
      <c r="G335" t="s">
        <v>107</v>
      </c>
      <c r="H335">
        <v>11</v>
      </c>
    </row>
    <row r="336" spans="7:8">
      <c r="G336" t="s">
        <v>109</v>
      </c>
      <c r="H336">
        <v>33</v>
      </c>
    </row>
    <row r="337" spans="7:8">
      <c r="G337" t="s">
        <v>109</v>
      </c>
      <c r="H337">
        <v>33</v>
      </c>
    </row>
    <row r="338" spans="7:8">
      <c r="G338" t="s">
        <v>113</v>
      </c>
      <c r="H338">
        <v>13</v>
      </c>
    </row>
    <row r="339" spans="7:8">
      <c r="G339" t="s">
        <v>107</v>
      </c>
      <c r="H339">
        <v>11</v>
      </c>
    </row>
    <row r="340" spans="7:8">
      <c r="G340" t="s">
        <v>106</v>
      </c>
      <c r="H340">
        <v>41</v>
      </c>
    </row>
    <row r="341" spans="7:8">
      <c r="G341" t="s">
        <v>108</v>
      </c>
      <c r="H341">
        <v>21</v>
      </c>
    </row>
    <row r="342" spans="7:8">
      <c r="G342" t="s">
        <v>104</v>
      </c>
      <c r="H342">
        <v>31</v>
      </c>
    </row>
    <row r="343" spans="7:8">
      <c r="G343" t="s">
        <v>105</v>
      </c>
      <c r="H343">
        <v>14</v>
      </c>
    </row>
    <row r="344" spans="7:8">
      <c r="G344" t="s">
        <v>106</v>
      </c>
      <c r="H344">
        <v>41</v>
      </c>
    </row>
    <row r="345" spans="7:8">
      <c r="G345" t="s">
        <v>107</v>
      </c>
      <c r="H345">
        <v>11</v>
      </c>
    </row>
    <row r="346" spans="7:8">
      <c r="G346" t="s">
        <v>113</v>
      </c>
      <c r="H346">
        <v>13</v>
      </c>
    </row>
    <row r="347" spans="7:8">
      <c r="G347" t="s">
        <v>107</v>
      </c>
      <c r="H347">
        <v>11</v>
      </c>
    </row>
    <row r="348" spans="7:8">
      <c r="G348" t="s">
        <v>106</v>
      </c>
      <c r="H348">
        <v>41</v>
      </c>
    </row>
    <row r="349" spans="7:8">
      <c r="G349" t="s">
        <v>107</v>
      </c>
      <c r="H349">
        <v>11</v>
      </c>
    </row>
    <row r="350" spans="7:8">
      <c r="G350" t="s">
        <v>106</v>
      </c>
      <c r="H350">
        <v>41</v>
      </c>
    </row>
    <row r="351" spans="7:8">
      <c r="G351" t="s">
        <v>110</v>
      </c>
      <c r="H351">
        <v>43</v>
      </c>
    </row>
    <row r="352" spans="7:8">
      <c r="G352" t="s">
        <v>104</v>
      </c>
      <c r="H352">
        <v>31</v>
      </c>
    </row>
    <row r="353" spans="7:8">
      <c r="G353" t="s">
        <v>107</v>
      </c>
      <c r="H353">
        <v>11</v>
      </c>
    </row>
    <row r="354" spans="7:8">
      <c r="G354" t="s">
        <v>105</v>
      </c>
      <c r="H354">
        <v>14</v>
      </c>
    </row>
    <row r="355" spans="7:8">
      <c r="G355" t="s">
        <v>106</v>
      </c>
      <c r="H355">
        <v>41</v>
      </c>
    </row>
    <row r="356" spans="7:8">
      <c r="G356" t="s">
        <v>106</v>
      </c>
      <c r="H356">
        <v>41</v>
      </c>
    </row>
    <row r="357" spans="7:8">
      <c r="G357" t="s">
        <v>107</v>
      </c>
      <c r="H357">
        <v>11</v>
      </c>
    </row>
    <row r="358" spans="7:8">
      <c r="G358" t="s">
        <v>107</v>
      </c>
      <c r="H358">
        <v>11</v>
      </c>
    </row>
    <row r="359" spans="7:8">
      <c r="G359" t="s">
        <v>105</v>
      </c>
      <c r="H359">
        <v>14</v>
      </c>
    </row>
    <row r="360" spans="7:8">
      <c r="G360" t="s">
        <v>105</v>
      </c>
      <c r="H360">
        <v>14</v>
      </c>
    </row>
    <row r="361" spans="7:8">
      <c r="G361" t="s">
        <v>112</v>
      </c>
      <c r="H361">
        <v>22</v>
      </c>
    </row>
    <row r="362" spans="7:8">
      <c r="G362" t="s">
        <v>109</v>
      </c>
      <c r="H362">
        <v>33</v>
      </c>
    </row>
    <row r="363" spans="7:8">
      <c r="G363" t="s">
        <v>106</v>
      </c>
      <c r="H363">
        <v>41</v>
      </c>
    </row>
    <row r="364" spans="7:8">
      <c r="G364" t="s">
        <v>113</v>
      </c>
      <c r="H364">
        <v>13</v>
      </c>
    </row>
    <row r="365" spans="7:8">
      <c r="G365" t="s">
        <v>108</v>
      </c>
      <c r="H365">
        <v>21</v>
      </c>
    </row>
    <row r="366" spans="7:8">
      <c r="G366" t="s">
        <v>107</v>
      </c>
      <c r="H366">
        <v>11</v>
      </c>
    </row>
    <row r="367" spans="7:8">
      <c r="G367" t="s">
        <v>106</v>
      </c>
      <c r="H367">
        <v>41</v>
      </c>
    </row>
    <row r="368" spans="7:8">
      <c r="G368" t="s">
        <v>108</v>
      </c>
      <c r="H368">
        <v>21</v>
      </c>
    </row>
    <row r="369" spans="7:8">
      <c r="G369" t="s">
        <v>109</v>
      </c>
      <c r="H369">
        <v>33</v>
      </c>
    </row>
    <row r="370" spans="7:8">
      <c r="G370" t="s">
        <v>114</v>
      </c>
      <c r="H370">
        <v>32</v>
      </c>
    </row>
    <row r="371" spans="7:8">
      <c r="G371" t="s">
        <v>110</v>
      </c>
      <c r="H371">
        <v>43</v>
      </c>
    </row>
    <row r="372" spans="7:8">
      <c r="G372" t="s">
        <v>109</v>
      </c>
      <c r="H372">
        <v>33</v>
      </c>
    </row>
    <row r="373" spans="7:8">
      <c r="G373" t="s">
        <v>108</v>
      </c>
      <c r="H373">
        <v>21</v>
      </c>
    </row>
    <row r="374" spans="7:8">
      <c r="G374" t="s">
        <v>107</v>
      </c>
      <c r="H374">
        <v>11</v>
      </c>
    </row>
    <row r="375" spans="7:8">
      <c r="G375" t="s">
        <v>106</v>
      </c>
      <c r="H375">
        <v>41</v>
      </c>
    </row>
    <row r="376" spans="7:8">
      <c r="G376" t="s">
        <v>110</v>
      </c>
      <c r="H376">
        <v>43</v>
      </c>
    </row>
    <row r="377" spans="7:8">
      <c r="G377" t="s">
        <v>105</v>
      </c>
      <c r="H377">
        <v>14</v>
      </c>
    </row>
    <row r="378" spans="7:8">
      <c r="G378" t="s">
        <v>106</v>
      </c>
      <c r="H378">
        <v>41</v>
      </c>
    </row>
    <row r="379" spans="7:8">
      <c r="G379" t="s">
        <v>107</v>
      </c>
      <c r="H379">
        <v>11</v>
      </c>
    </row>
    <row r="380" spans="7:8">
      <c r="G380" t="s">
        <v>116</v>
      </c>
      <c r="H380">
        <v>42</v>
      </c>
    </row>
    <row r="381" spans="7:8">
      <c r="G381" t="s">
        <v>106</v>
      </c>
      <c r="H381">
        <v>41</v>
      </c>
    </row>
    <row r="382" spans="7:8">
      <c r="G382" t="s">
        <v>106</v>
      </c>
      <c r="H382">
        <v>41</v>
      </c>
    </row>
    <row r="383" spans="7:8">
      <c r="G383" t="s">
        <v>108</v>
      </c>
      <c r="H383">
        <v>21</v>
      </c>
    </row>
    <row r="384" spans="7:8">
      <c r="G384" t="s">
        <v>113</v>
      </c>
      <c r="H384">
        <v>13</v>
      </c>
    </row>
    <row r="385" spans="7:8">
      <c r="G385" t="s">
        <v>110</v>
      </c>
      <c r="H385">
        <v>43</v>
      </c>
    </row>
    <row r="386" spans="7:8">
      <c r="G386" t="s">
        <v>117</v>
      </c>
      <c r="H386">
        <v>12</v>
      </c>
    </row>
    <row r="387" spans="7:8">
      <c r="G387" t="s">
        <v>106</v>
      </c>
      <c r="H387">
        <v>41</v>
      </c>
    </row>
    <row r="388" spans="7:8">
      <c r="G388" t="s">
        <v>111</v>
      </c>
      <c r="H388">
        <v>23</v>
      </c>
    </row>
    <row r="389" spans="7:8">
      <c r="G389" t="s">
        <v>110</v>
      </c>
      <c r="H389">
        <v>43</v>
      </c>
    </row>
    <row r="390" spans="7:8">
      <c r="G390" t="s">
        <v>106</v>
      </c>
      <c r="H390">
        <v>41</v>
      </c>
    </row>
    <row r="391" spans="7:8">
      <c r="G391" t="s">
        <v>107</v>
      </c>
      <c r="H391">
        <v>11</v>
      </c>
    </row>
    <row r="392" spans="7:8">
      <c r="G392" t="s">
        <v>108</v>
      </c>
      <c r="H392">
        <v>21</v>
      </c>
    </row>
    <row r="393" spans="7:8">
      <c r="G393" t="s">
        <v>113</v>
      </c>
      <c r="H393">
        <v>13</v>
      </c>
    </row>
    <row r="394" spans="7:8">
      <c r="G394" t="s">
        <v>113</v>
      </c>
      <c r="H394">
        <v>13</v>
      </c>
    </row>
    <row r="395" spans="7:8">
      <c r="G395" t="s">
        <v>106</v>
      </c>
      <c r="H395">
        <v>41</v>
      </c>
    </row>
    <row r="396" spans="7:8">
      <c r="G396" t="s">
        <v>106</v>
      </c>
      <c r="H396">
        <v>41</v>
      </c>
    </row>
    <row r="397" spans="7:8">
      <c r="G397" t="s">
        <v>113</v>
      </c>
      <c r="H397">
        <v>13</v>
      </c>
    </row>
    <row r="398" spans="7:8">
      <c r="G398" t="s">
        <v>106</v>
      </c>
      <c r="H398">
        <v>41</v>
      </c>
    </row>
    <row r="399" spans="7:8">
      <c r="G399" t="s">
        <v>104</v>
      </c>
      <c r="H399">
        <v>31</v>
      </c>
    </row>
    <row r="400" spans="7:8">
      <c r="G400" t="s">
        <v>105</v>
      </c>
      <c r="H400">
        <v>14</v>
      </c>
    </row>
    <row r="401" spans="7:8">
      <c r="G401" t="s">
        <v>110</v>
      </c>
      <c r="H401">
        <v>43</v>
      </c>
    </row>
    <row r="402" spans="7:8">
      <c r="G402" t="s">
        <v>111</v>
      </c>
      <c r="H402">
        <v>23</v>
      </c>
    </row>
    <row r="403" spans="7:8">
      <c r="G403" t="s">
        <v>109</v>
      </c>
      <c r="H403">
        <v>33</v>
      </c>
    </row>
    <row r="404" spans="7:8">
      <c r="G404" t="s">
        <v>110</v>
      </c>
      <c r="H404">
        <v>43</v>
      </c>
    </row>
    <row r="405" spans="7:8">
      <c r="G405" t="s">
        <v>108</v>
      </c>
      <c r="H405">
        <v>21</v>
      </c>
    </row>
    <row r="406" spans="7:8">
      <c r="G406" t="s">
        <v>108</v>
      </c>
      <c r="H406">
        <v>21</v>
      </c>
    </row>
    <row r="407" spans="7:8">
      <c r="G407" t="s">
        <v>108</v>
      </c>
      <c r="H407">
        <v>21</v>
      </c>
    </row>
    <row r="408" spans="7:8">
      <c r="G408" t="s">
        <v>116</v>
      </c>
      <c r="H408">
        <v>42</v>
      </c>
    </row>
    <row r="409" spans="7:8">
      <c r="G409" t="s">
        <v>107</v>
      </c>
      <c r="H409">
        <v>11</v>
      </c>
    </row>
    <row r="410" spans="7:8">
      <c r="G410" t="s">
        <v>108</v>
      </c>
      <c r="H410">
        <v>21</v>
      </c>
    </row>
    <row r="411" spans="7:8">
      <c r="G411" t="s">
        <v>108</v>
      </c>
      <c r="H411">
        <v>21</v>
      </c>
    </row>
    <row r="412" spans="7:8">
      <c r="G412" t="s">
        <v>108</v>
      </c>
      <c r="H412">
        <v>21</v>
      </c>
    </row>
    <row r="413" spans="7:8">
      <c r="G413" t="s">
        <v>104</v>
      </c>
      <c r="H413">
        <v>31</v>
      </c>
    </row>
    <row r="414" spans="7:8">
      <c r="G414" t="s">
        <v>105</v>
      </c>
      <c r="H414">
        <v>14</v>
      </c>
    </row>
    <row r="415" spans="7:8">
      <c r="G415" t="s">
        <v>116</v>
      </c>
      <c r="H415">
        <v>42</v>
      </c>
    </row>
    <row r="416" spans="7:8">
      <c r="G416" t="s">
        <v>106</v>
      </c>
      <c r="H416">
        <v>41</v>
      </c>
    </row>
    <row r="417" spans="7:8">
      <c r="G417" t="s">
        <v>105</v>
      </c>
      <c r="H417">
        <v>14</v>
      </c>
    </row>
    <row r="418" spans="7:8">
      <c r="G418" t="s">
        <v>106</v>
      </c>
      <c r="H418">
        <v>41</v>
      </c>
    </row>
    <row r="419" spans="7:8">
      <c r="G419" t="s">
        <v>108</v>
      </c>
      <c r="H419">
        <v>21</v>
      </c>
    </row>
    <row r="420" spans="7:8">
      <c r="G420" t="s">
        <v>109</v>
      </c>
      <c r="H420">
        <v>33</v>
      </c>
    </row>
    <row r="421" spans="7:8">
      <c r="G421" t="s">
        <v>110</v>
      </c>
      <c r="H421">
        <v>43</v>
      </c>
    </row>
    <row r="422" spans="7:8">
      <c r="G422" t="s">
        <v>107</v>
      </c>
      <c r="H422">
        <v>11</v>
      </c>
    </row>
    <row r="423" spans="7:8">
      <c r="G423" t="s">
        <v>108</v>
      </c>
      <c r="H423">
        <v>21</v>
      </c>
    </row>
    <row r="424" spans="7:8">
      <c r="G424" t="s">
        <v>105</v>
      </c>
      <c r="H424">
        <v>14</v>
      </c>
    </row>
    <row r="425" spans="7:8">
      <c r="G425" t="s">
        <v>111</v>
      </c>
      <c r="H425">
        <v>23</v>
      </c>
    </row>
    <row r="426" spans="7:8">
      <c r="G426" t="s">
        <v>107</v>
      </c>
      <c r="H426">
        <v>11</v>
      </c>
    </row>
    <row r="427" spans="7:8">
      <c r="G427" t="s">
        <v>105</v>
      </c>
      <c r="H427">
        <v>14</v>
      </c>
    </row>
    <row r="428" spans="7:8">
      <c r="G428" t="s">
        <v>110</v>
      </c>
      <c r="H428">
        <v>43</v>
      </c>
    </row>
    <row r="429" spans="7:8">
      <c r="G429" t="s">
        <v>106</v>
      </c>
      <c r="H429">
        <v>41</v>
      </c>
    </row>
    <row r="430" spans="7:8">
      <c r="G430" t="s">
        <v>107</v>
      </c>
      <c r="H430">
        <v>11</v>
      </c>
    </row>
    <row r="431" spans="7:8">
      <c r="G431" t="s">
        <v>110</v>
      </c>
      <c r="H431">
        <v>43</v>
      </c>
    </row>
    <row r="432" spans="7:8">
      <c r="G432" t="s">
        <v>110</v>
      </c>
      <c r="H432">
        <v>43</v>
      </c>
    </row>
    <row r="433" spans="7:8">
      <c r="G433" t="s">
        <v>106</v>
      </c>
      <c r="H433">
        <v>41</v>
      </c>
    </row>
    <row r="434" spans="7:8">
      <c r="G434" t="s">
        <v>107</v>
      </c>
      <c r="H434">
        <v>11</v>
      </c>
    </row>
    <row r="435" spans="7:8">
      <c r="G435" t="s">
        <v>107</v>
      </c>
      <c r="H435">
        <v>11</v>
      </c>
    </row>
    <row r="436" spans="7:8">
      <c r="G436" t="s">
        <v>107</v>
      </c>
      <c r="H436">
        <v>11</v>
      </c>
    </row>
    <row r="437" spans="7:8">
      <c r="G437" t="s">
        <v>110</v>
      </c>
      <c r="H437">
        <v>43</v>
      </c>
    </row>
    <row r="438" spans="7:8">
      <c r="G438" t="s">
        <v>107</v>
      </c>
      <c r="H438">
        <v>11</v>
      </c>
    </row>
    <row r="439" spans="7:8">
      <c r="G439" t="s">
        <v>108</v>
      </c>
      <c r="H439">
        <v>21</v>
      </c>
    </row>
    <row r="440" spans="7:8">
      <c r="G440" t="s">
        <v>107</v>
      </c>
      <c r="H440">
        <v>11</v>
      </c>
    </row>
    <row r="441" spans="7:8">
      <c r="G441" t="s">
        <v>108</v>
      </c>
      <c r="H441">
        <v>21</v>
      </c>
    </row>
    <row r="442" spans="7:8">
      <c r="G442" t="s">
        <v>109</v>
      </c>
      <c r="H442">
        <v>33</v>
      </c>
    </row>
    <row r="443" spans="7:8">
      <c r="G443" t="s">
        <v>106</v>
      </c>
      <c r="H443">
        <v>41</v>
      </c>
    </row>
    <row r="444" spans="7:8">
      <c r="G444" t="s">
        <v>109</v>
      </c>
      <c r="H444">
        <v>33</v>
      </c>
    </row>
    <row r="445" spans="7:8">
      <c r="G445" t="s">
        <v>110</v>
      </c>
      <c r="H445">
        <v>43</v>
      </c>
    </row>
    <row r="446" spans="7:8">
      <c r="G446" t="s">
        <v>110</v>
      </c>
      <c r="H446">
        <v>43</v>
      </c>
    </row>
    <row r="447" spans="7:8">
      <c r="G447" t="s">
        <v>106</v>
      </c>
      <c r="H447">
        <v>41</v>
      </c>
    </row>
    <row r="448" spans="7:8">
      <c r="G448" t="s">
        <v>110</v>
      </c>
      <c r="H448">
        <v>43</v>
      </c>
    </row>
    <row r="449" spans="7:8">
      <c r="G449" t="s">
        <v>107</v>
      </c>
      <c r="H449">
        <v>11</v>
      </c>
    </row>
    <row r="450" spans="7:8">
      <c r="G450" t="s">
        <v>108</v>
      </c>
      <c r="H450">
        <v>21</v>
      </c>
    </row>
    <row r="451" spans="7:8">
      <c r="G451" t="s">
        <v>110</v>
      </c>
      <c r="H451">
        <v>43</v>
      </c>
    </row>
    <row r="452" spans="7:8">
      <c r="G452" t="s">
        <v>106</v>
      </c>
      <c r="H452">
        <v>41</v>
      </c>
    </row>
    <row r="453" spans="7:8">
      <c r="G453" t="s">
        <v>106</v>
      </c>
      <c r="H453">
        <v>41</v>
      </c>
    </row>
    <row r="454" spans="7:8">
      <c r="G454" t="s">
        <v>107</v>
      </c>
      <c r="H454">
        <v>11</v>
      </c>
    </row>
    <row r="455" spans="7:8">
      <c r="G455" t="s">
        <v>104</v>
      </c>
      <c r="H455">
        <v>31</v>
      </c>
    </row>
    <row r="456" spans="7:8">
      <c r="G456" t="s">
        <v>110</v>
      </c>
      <c r="H456">
        <v>43</v>
      </c>
    </row>
    <row r="457" spans="7:8">
      <c r="G457" t="s">
        <v>107</v>
      </c>
      <c r="H457">
        <v>11</v>
      </c>
    </row>
    <row r="458" spans="7:8">
      <c r="G458" t="s">
        <v>107</v>
      </c>
      <c r="H458">
        <v>11</v>
      </c>
    </row>
    <row r="459" spans="7:8">
      <c r="G459" t="s">
        <v>106</v>
      </c>
      <c r="H459">
        <v>41</v>
      </c>
    </row>
    <row r="460" spans="7:8">
      <c r="G460" t="s">
        <v>108</v>
      </c>
      <c r="H460">
        <v>21</v>
      </c>
    </row>
    <row r="461" spans="7:8">
      <c r="G461" t="s">
        <v>107</v>
      </c>
      <c r="H461">
        <v>11</v>
      </c>
    </row>
    <row r="462" spans="7:8">
      <c r="G462" t="s">
        <v>106</v>
      </c>
      <c r="H462">
        <v>41</v>
      </c>
    </row>
    <row r="463" spans="7:8">
      <c r="G463" t="s">
        <v>107</v>
      </c>
      <c r="H463">
        <v>11</v>
      </c>
    </row>
    <row r="464" spans="7:8">
      <c r="G464" t="s">
        <v>106</v>
      </c>
      <c r="H464">
        <v>41</v>
      </c>
    </row>
    <row r="465" spans="7:8">
      <c r="G465" t="s">
        <v>110</v>
      </c>
      <c r="H465">
        <v>43</v>
      </c>
    </row>
    <row r="466" spans="7:8">
      <c r="G466" t="s">
        <v>108</v>
      </c>
      <c r="H466">
        <v>21</v>
      </c>
    </row>
    <row r="467" spans="7:8">
      <c r="G467" t="s">
        <v>106</v>
      </c>
      <c r="H467">
        <v>41</v>
      </c>
    </row>
    <row r="468" spans="7:8">
      <c r="G468" t="s">
        <v>107</v>
      </c>
      <c r="H468">
        <v>11</v>
      </c>
    </row>
    <row r="469" spans="7:8">
      <c r="G469" t="s">
        <v>110</v>
      </c>
      <c r="H469">
        <v>43</v>
      </c>
    </row>
    <row r="470" spans="7:8">
      <c r="G470" t="s">
        <v>105</v>
      </c>
      <c r="H470">
        <v>14</v>
      </c>
    </row>
    <row r="471" spans="7:8">
      <c r="G471" t="s">
        <v>107</v>
      </c>
      <c r="H471">
        <v>11</v>
      </c>
    </row>
    <row r="472" spans="7:8">
      <c r="G472" t="s">
        <v>108</v>
      </c>
      <c r="H472">
        <v>21</v>
      </c>
    </row>
    <row r="473" spans="7:8">
      <c r="G473" t="s">
        <v>108</v>
      </c>
      <c r="H473">
        <v>21</v>
      </c>
    </row>
    <row r="474" spans="7:8">
      <c r="G474" t="s">
        <v>107</v>
      </c>
      <c r="H474">
        <v>11</v>
      </c>
    </row>
    <row r="475" spans="7:8">
      <c r="G475" t="s">
        <v>112</v>
      </c>
      <c r="H475">
        <v>22</v>
      </c>
    </row>
    <row r="476" spans="7:8">
      <c r="G476" t="s">
        <v>109</v>
      </c>
      <c r="H476">
        <v>33</v>
      </c>
    </row>
    <row r="477" spans="7:8">
      <c r="G477" t="s">
        <v>111</v>
      </c>
      <c r="H477">
        <v>23</v>
      </c>
    </row>
    <row r="478" spans="7:8">
      <c r="G478" t="s">
        <v>107</v>
      </c>
      <c r="H478">
        <v>11</v>
      </c>
    </row>
    <row r="479" spans="7:8">
      <c r="G479" t="s">
        <v>107</v>
      </c>
      <c r="H479">
        <v>11</v>
      </c>
    </row>
    <row r="480" spans="7:8">
      <c r="G480" t="s">
        <v>109</v>
      </c>
      <c r="H480">
        <v>33</v>
      </c>
    </row>
    <row r="481" spans="7:8">
      <c r="G481" t="s">
        <v>112</v>
      </c>
      <c r="H481">
        <v>22</v>
      </c>
    </row>
    <row r="482" spans="7:8">
      <c r="G482" t="s">
        <v>106</v>
      </c>
      <c r="H482">
        <v>41</v>
      </c>
    </row>
    <row r="483" spans="7:8">
      <c r="G483" t="s">
        <v>107</v>
      </c>
      <c r="H483">
        <v>11</v>
      </c>
    </row>
    <row r="484" spans="7:8">
      <c r="G484" t="s">
        <v>107</v>
      </c>
      <c r="H484">
        <v>11</v>
      </c>
    </row>
    <row r="485" spans="7:8">
      <c r="G485" t="s">
        <v>107</v>
      </c>
      <c r="H485">
        <v>11</v>
      </c>
    </row>
    <row r="486" spans="7:8">
      <c r="G486" t="s">
        <v>110</v>
      </c>
      <c r="H486">
        <v>43</v>
      </c>
    </row>
    <row r="487" spans="7:8">
      <c r="G487" t="s">
        <v>107</v>
      </c>
      <c r="H487">
        <v>11</v>
      </c>
    </row>
    <row r="488" spans="7:8">
      <c r="G488" t="s">
        <v>108</v>
      </c>
      <c r="H488">
        <v>21</v>
      </c>
    </row>
    <row r="489" spans="7:8">
      <c r="G489" t="s">
        <v>108</v>
      </c>
      <c r="H489">
        <v>21</v>
      </c>
    </row>
    <row r="490" spans="7:8">
      <c r="G490" t="s">
        <v>108</v>
      </c>
      <c r="H490">
        <v>21</v>
      </c>
    </row>
    <row r="491" spans="7:8">
      <c r="G491" t="s">
        <v>113</v>
      </c>
      <c r="H491">
        <v>13</v>
      </c>
    </row>
    <row r="492" spans="7:8">
      <c r="G492" t="s">
        <v>107</v>
      </c>
      <c r="H492">
        <v>11</v>
      </c>
    </row>
    <row r="493" spans="7:8">
      <c r="G493" t="s">
        <v>113</v>
      </c>
      <c r="H493">
        <v>13</v>
      </c>
    </row>
    <row r="494" spans="7:8">
      <c r="G494" t="s">
        <v>106</v>
      </c>
      <c r="H494">
        <v>41</v>
      </c>
    </row>
    <row r="495" spans="7:8">
      <c r="G495" t="s">
        <v>107</v>
      </c>
      <c r="H495">
        <v>11</v>
      </c>
    </row>
    <row r="496" spans="7:8">
      <c r="G496" t="s">
        <v>107</v>
      </c>
      <c r="H496">
        <v>11</v>
      </c>
    </row>
    <row r="497" spans="7:8">
      <c r="G497" t="s">
        <v>107</v>
      </c>
      <c r="H497">
        <v>11</v>
      </c>
    </row>
    <row r="498" spans="7:8">
      <c r="G498" t="s">
        <v>110</v>
      </c>
      <c r="H498">
        <v>43</v>
      </c>
    </row>
    <row r="499" spans="7:8">
      <c r="G499" t="s">
        <v>106</v>
      </c>
      <c r="H499">
        <v>41</v>
      </c>
    </row>
    <row r="500" spans="7:8">
      <c r="G500" t="s">
        <v>110</v>
      </c>
      <c r="H500">
        <v>43</v>
      </c>
    </row>
    <row r="501" spans="7:8">
      <c r="G501" t="s">
        <v>111</v>
      </c>
      <c r="H501">
        <v>23</v>
      </c>
    </row>
    <row r="502" spans="7:8">
      <c r="G502" t="s">
        <v>110</v>
      </c>
      <c r="H502">
        <v>43</v>
      </c>
    </row>
    <row r="503" spans="7:8">
      <c r="G503" t="s">
        <v>108</v>
      </c>
      <c r="H503">
        <v>21</v>
      </c>
    </row>
    <row r="504" spans="7:8">
      <c r="G504" t="s">
        <v>110</v>
      </c>
      <c r="H504">
        <v>43</v>
      </c>
    </row>
    <row r="505" spans="7:8">
      <c r="G505" t="s">
        <v>106</v>
      </c>
      <c r="H505">
        <v>41</v>
      </c>
    </row>
    <row r="506" spans="7:8">
      <c r="G506" t="s">
        <v>113</v>
      </c>
      <c r="H506">
        <v>13</v>
      </c>
    </row>
    <row r="507" spans="7:8">
      <c r="G507" t="s">
        <v>108</v>
      </c>
      <c r="H507">
        <v>21</v>
      </c>
    </row>
    <row r="508" spans="7:8">
      <c r="G508" t="s">
        <v>110</v>
      </c>
      <c r="H508">
        <v>43</v>
      </c>
    </row>
    <row r="509" spans="7:8">
      <c r="G509" t="s">
        <v>110</v>
      </c>
      <c r="H509">
        <v>43</v>
      </c>
    </row>
    <row r="510" spans="7:8">
      <c r="G510" t="s">
        <v>107</v>
      </c>
      <c r="H510">
        <v>11</v>
      </c>
    </row>
    <row r="511" spans="7:8">
      <c r="G511" t="s">
        <v>110</v>
      </c>
      <c r="H511">
        <v>43</v>
      </c>
    </row>
    <row r="512" spans="7:8">
      <c r="G512" t="s">
        <v>108</v>
      </c>
      <c r="H512">
        <v>21</v>
      </c>
    </row>
    <row r="513" spans="7:8">
      <c r="G513" t="s">
        <v>110</v>
      </c>
      <c r="H513">
        <v>43</v>
      </c>
    </row>
    <row r="514" spans="7:8">
      <c r="G514" t="s">
        <v>106</v>
      </c>
      <c r="H514">
        <v>41</v>
      </c>
    </row>
    <row r="515" spans="7:8">
      <c r="G515" t="s">
        <v>104</v>
      </c>
      <c r="H515">
        <v>31</v>
      </c>
    </row>
    <row r="516" spans="7:8">
      <c r="G516" t="s">
        <v>110</v>
      </c>
      <c r="H516">
        <v>43</v>
      </c>
    </row>
    <row r="517" spans="7:8">
      <c r="G517" t="s">
        <v>108</v>
      </c>
      <c r="H517">
        <v>21</v>
      </c>
    </row>
    <row r="518" spans="7:8">
      <c r="G518" t="s">
        <v>110</v>
      </c>
      <c r="H518">
        <v>43</v>
      </c>
    </row>
    <row r="519" spans="7:8">
      <c r="G519" t="s">
        <v>106</v>
      </c>
      <c r="H519">
        <v>41</v>
      </c>
    </row>
    <row r="520" spans="7:8">
      <c r="G520" t="s">
        <v>108</v>
      </c>
      <c r="H520">
        <v>21</v>
      </c>
    </row>
    <row r="521" spans="7:8">
      <c r="G521" t="s">
        <v>109</v>
      </c>
      <c r="H521">
        <v>33</v>
      </c>
    </row>
    <row r="522" spans="7:8">
      <c r="G522" t="s">
        <v>110</v>
      </c>
      <c r="H522">
        <v>43</v>
      </c>
    </row>
    <row r="523" spans="7:8">
      <c r="G523" t="s">
        <v>106</v>
      </c>
      <c r="H523">
        <v>41</v>
      </c>
    </row>
    <row r="524" spans="7:8">
      <c r="G524" t="s">
        <v>106</v>
      </c>
      <c r="H524">
        <v>41</v>
      </c>
    </row>
    <row r="525" spans="7:8">
      <c r="G525" t="s">
        <v>112</v>
      </c>
      <c r="H525">
        <v>22</v>
      </c>
    </row>
    <row r="526" spans="7:8">
      <c r="G526" t="s">
        <v>106</v>
      </c>
      <c r="H526">
        <v>41</v>
      </c>
    </row>
    <row r="527" spans="7:8">
      <c r="G527" t="s">
        <v>106</v>
      </c>
      <c r="H527">
        <v>41</v>
      </c>
    </row>
    <row r="528" spans="7:8">
      <c r="G528" t="s">
        <v>106</v>
      </c>
      <c r="H528">
        <v>41</v>
      </c>
    </row>
    <row r="529" spans="7:8">
      <c r="G529" t="s">
        <v>109</v>
      </c>
      <c r="H529">
        <v>33</v>
      </c>
    </row>
    <row r="530" spans="7:8">
      <c r="G530" t="s">
        <v>105</v>
      </c>
      <c r="H530">
        <v>14</v>
      </c>
    </row>
    <row r="531" spans="7:8">
      <c r="G531" t="s">
        <v>107</v>
      </c>
      <c r="H531">
        <v>11</v>
      </c>
    </row>
    <row r="532" spans="7:8">
      <c r="G532" t="s">
        <v>108</v>
      </c>
      <c r="H532">
        <v>21</v>
      </c>
    </row>
    <row r="533" spans="7:8">
      <c r="G533" t="s">
        <v>110</v>
      </c>
      <c r="H533">
        <v>43</v>
      </c>
    </row>
    <row r="534" spans="7:8">
      <c r="G534" t="s">
        <v>106</v>
      </c>
      <c r="H534">
        <v>41</v>
      </c>
    </row>
    <row r="535" spans="7:8">
      <c r="G535" t="s">
        <v>107</v>
      </c>
      <c r="H535">
        <v>11</v>
      </c>
    </row>
    <row r="536" spans="7:8">
      <c r="G536" t="s">
        <v>106</v>
      </c>
      <c r="H536">
        <v>41</v>
      </c>
    </row>
    <row r="537" spans="7:8">
      <c r="G537" t="s">
        <v>107</v>
      </c>
      <c r="H537">
        <v>11</v>
      </c>
    </row>
    <row r="538" spans="7:8">
      <c r="G538" t="s">
        <v>106</v>
      </c>
      <c r="H538">
        <v>41</v>
      </c>
    </row>
    <row r="539" spans="7:8">
      <c r="G539" t="s">
        <v>106</v>
      </c>
      <c r="H539">
        <v>41</v>
      </c>
    </row>
    <row r="540" spans="7:8">
      <c r="G540" t="s">
        <v>106</v>
      </c>
      <c r="H540">
        <v>41</v>
      </c>
    </row>
    <row r="541" spans="7:8">
      <c r="G541" t="s">
        <v>106</v>
      </c>
      <c r="H541">
        <v>41</v>
      </c>
    </row>
    <row r="542" spans="7:8">
      <c r="G542" t="s">
        <v>108</v>
      </c>
      <c r="H542">
        <v>21</v>
      </c>
    </row>
    <row r="543" spans="7:8">
      <c r="G543" t="s">
        <v>108</v>
      </c>
      <c r="H543">
        <v>21</v>
      </c>
    </row>
    <row r="544" spans="7:8">
      <c r="G544" t="s">
        <v>108</v>
      </c>
      <c r="H544">
        <v>21</v>
      </c>
    </row>
    <row r="545" spans="7:8">
      <c r="G545" t="s">
        <v>107</v>
      </c>
      <c r="H545">
        <v>11</v>
      </c>
    </row>
    <row r="546" spans="7:8">
      <c r="G546" t="s">
        <v>108</v>
      </c>
      <c r="H546">
        <v>21</v>
      </c>
    </row>
    <row r="547" spans="7:8">
      <c r="G547" t="s">
        <v>106</v>
      </c>
      <c r="H547">
        <v>41</v>
      </c>
    </row>
    <row r="548" spans="7:8">
      <c r="G548" t="s">
        <v>106</v>
      </c>
      <c r="H548">
        <v>41</v>
      </c>
    </row>
    <row r="549" spans="7:8">
      <c r="G549" t="s">
        <v>104</v>
      </c>
      <c r="H549">
        <v>31</v>
      </c>
    </row>
    <row r="550" spans="7:8">
      <c r="G550" t="s">
        <v>108</v>
      </c>
      <c r="H550">
        <v>21</v>
      </c>
    </row>
    <row r="551" spans="7:8">
      <c r="G551" t="s">
        <v>110</v>
      </c>
      <c r="H551">
        <v>43</v>
      </c>
    </row>
    <row r="552" spans="7:8">
      <c r="G552" t="s">
        <v>110</v>
      </c>
      <c r="H552">
        <v>43</v>
      </c>
    </row>
    <row r="553" spans="7:8">
      <c r="G553" t="s">
        <v>112</v>
      </c>
      <c r="H553">
        <v>22</v>
      </c>
    </row>
    <row r="554" spans="7:8">
      <c r="G554" t="s">
        <v>107</v>
      </c>
      <c r="H554">
        <v>11</v>
      </c>
    </row>
    <row r="555" spans="7:8">
      <c r="G555" t="s">
        <v>111</v>
      </c>
      <c r="H555">
        <v>23</v>
      </c>
    </row>
    <row r="556" spans="7:8">
      <c r="G556" t="s">
        <v>106</v>
      </c>
      <c r="H556">
        <v>41</v>
      </c>
    </row>
    <row r="557" spans="7:8">
      <c r="G557" t="s">
        <v>108</v>
      </c>
      <c r="H557">
        <v>21</v>
      </c>
    </row>
    <row r="558" spans="7:8">
      <c r="G558" t="s">
        <v>112</v>
      </c>
      <c r="H558">
        <v>22</v>
      </c>
    </row>
    <row r="559" spans="7:8">
      <c r="G559" t="s">
        <v>104</v>
      </c>
      <c r="H559">
        <v>31</v>
      </c>
    </row>
    <row r="560" spans="7:8">
      <c r="G560" t="s">
        <v>108</v>
      </c>
      <c r="H560">
        <v>21</v>
      </c>
    </row>
    <row r="561" spans="7:8">
      <c r="G561" t="s">
        <v>105</v>
      </c>
      <c r="H561">
        <v>14</v>
      </c>
    </row>
    <row r="562" spans="7:8">
      <c r="G562" t="s">
        <v>107</v>
      </c>
      <c r="H562">
        <v>11</v>
      </c>
    </row>
    <row r="563" spans="7:8">
      <c r="G563" t="s">
        <v>108</v>
      </c>
      <c r="H563">
        <v>21</v>
      </c>
    </row>
    <row r="564" spans="7:8">
      <c r="G564" t="s">
        <v>110</v>
      </c>
      <c r="H564">
        <v>43</v>
      </c>
    </row>
    <row r="565" spans="7:8">
      <c r="G565" t="s">
        <v>110</v>
      </c>
      <c r="H565">
        <v>43</v>
      </c>
    </row>
    <row r="566" spans="7:8">
      <c r="G566" t="s">
        <v>107</v>
      </c>
      <c r="H566">
        <v>11</v>
      </c>
    </row>
    <row r="567" spans="7:8">
      <c r="G567" t="s">
        <v>108</v>
      </c>
      <c r="H567">
        <v>21</v>
      </c>
    </row>
    <row r="568" spans="7:8">
      <c r="G568" t="s">
        <v>107</v>
      </c>
      <c r="H568">
        <v>11</v>
      </c>
    </row>
    <row r="569" spans="7:8">
      <c r="G569" t="s">
        <v>108</v>
      </c>
      <c r="H569">
        <v>21</v>
      </c>
    </row>
    <row r="570" spans="7:8">
      <c r="G570" t="s">
        <v>107</v>
      </c>
      <c r="H570">
        <v>11</v>
      </c>
    </row>
    <row r="571" spans="7:8">
      <c r="G571" t="s">
        <v>110</v>
      </c>
      <c r="H571">
        <v>43</v>
      </c>
    </row>
    <row r="572" spans="7:8">
      <c r="G572" t="s">
        <v>107</v>
      </c>
      <c r="H572">
        <v>11</v>
      </c>
    </row>
    <row r="573" spans="7:8">
      <c r="G573" t="s">
        <v>109</v>
      </c>
      <c r="H573">
        <v>33</v>
      </c>
    </row>
    <row r="574" spans="7:8">
      <c r="G574" t="s">
        <v>110</v>
      </c>
      <c r="H574">
        <v>43</v>
      </c>
    </row>
    <row r="575" spans="7:8">
      <c r="G575" t="s">
        <v>106</v>
      </c>
      <c r="H575">
        <v>41</v>
      </c>
    </row>
    <row r="576" spans="7:8">
      <c r="G576" t="s">
        <v>107</v>
      </c>
      <c r="H576">
        <v>11</v>
      </c>
    </row>
    <row r="577" spans="7:8">
      <c r="G577" t="s">
        <v>114</v>
      </c>
      <c r="H577">
        <v>32</v>
      </c>
    </row>
    <row r="578" spans="7:8">
      <c r="G578" t="s">
        <v>106</v>
      </c>
      <c r="H578">
        <v>41</v>
      </c>
    </row>
    <row r="579" spans="7:8">
      <c r="G579" t="s">
        <v>106</v>
      </c>
      <c r="H579">
        <v>41</v>
      </c>
    </row>
    <row r="580" spans="7:8">
      <c r="G580" t="s">
        <v>113</v>
      </c>
      <c r="H580">
        <v>13</v>
      </c>
    </row>
    <row r="581" spans="7:8">
      <c r="G581" t="s">
        <v>107</v>
      </c>
      <c r="H581">
        <v>11</v>
      </c>
    </row>
    <row r="582" spans="7:8">
      <c r="G582" t="s">
        <v>107</v>
      </c>
      <c r="H582">
        <v>11</v>
      </c>
    </row>
    <row r="583" spans="7:8">
      <c r="G583" t="s">
        <v>107</v>
      </c>
      <c r="H583">
        <v>11</v>
      </c>
    </row>
    <row r="584" spans="7:8">
      <c r="G584" t="s">
        <v>104</v>
      </c>
      <c r="H584">
        <v>31</v>
      </c>
    </row>
    <row r="585" spans="7:8">
      <c r="G585" t="s">
        <v>108</v>
      </c>
      <c r="H585">
        <v>21</v>
      </c>
    </row>
    <row r="586" spans="7:8">
      <c r="G586" t="s">
        <v>109</v>
      </c>
      <c r="H586">
        <v>33</v>
      </c>
    </row>
    <row r="587" spans="7:8">
      <c r="G587" t="s">
        <v>113</v>
      </c>
      <c r="H587">
        <v>13</v>
      </c>
    </row>
    <row r="588" spans="7:8">
      <c r="G588" t="s">
        <v>116</v>
      </c>
      <c r="H588">
        <v>42</v>
      </c>
    </row>
    <row r="589" spans="7:8">
      <c r="G589" t="s">
        <v>107</v>
      </c>
      <c r="H589">
        <v>11</v>
      </c>
    </row>
    <row r="590" spans="7:8">
      <c r="G590" t="s">
        <v>106</v>
      </c>
      <c r="H590">
        <v>41</v>
      </c>
    </row>
    <row r="591" spans="7:8">
      <c r="G591" t="s">
        <v>108</v>
      </c>
      <c r="H591">
        <v>21</v>
      </c>
    </row>
    <row r="592" spans="7:8">
      <c r="G592" t="s">
        <v>106</v>
      </c>
      <c r="H592">
        <v>41</v>
      </c>
    </row>
    <row r="593" spans="7:8">
      <c r="G593" t="s">
        <v>108</v>
      </c>
      <c r="H593">
        <v>21</v>
      </c>
    </row>
    <row r="594" spans="7:8">
      <c r="G594" t="s">
        <v>107</v>
      </c>
      <c r="H594">
        <v>11</v>
      </c>
    </row>
    <row r="595" spans="7:8">
      <c r="G595" t="s">
        <v>106</v>
      </c>
      <c r="H595">
        <v>41</v>
      </c>
    </row>
    <row r="596" spans="7:8">
      <c r="G596" t="s">
        <v>108</v>
      </c>
      <c r="H596">
        <v>21</v>
      </c>
    </row>
    <row r="597" spans="7:8">
      <c r="G597" t="s">
        <v>105</v>
      </c>
      <c r="H597">
        <v>14</v>
      </c>
    </row>
    <row r="598" spans="7:8">
      <c r="G598" t="s">
        <v>108</v>
      </c>
      <c r="H598">
        <v>21</v>
      </c>
    </row>
    <row r="599" spans="7:8">
      <c r="G599" t="s">
        <v>106</v>
      </c>
      <c r="H599">
        <v>41</v>
      </c>
    </row>
    <row r="600" spans="7:8">
      <c r="G600" t="s">
        <v>106</v>
      </c>
      <c r="H600">
        <v>41</v>
      </c>
    </row>
    <row r="601" spans="7:8">
      <c r="G601" t="s">
        <v>113</v>
      </c>
      <c r="H601">
        <v>13</v>
      </c>
    </row>
    <row r="602" spans="7:8">
      <c r="G602" t="s">
        <v>106</v>
      </c>
      <c r="H602">
        <v>41</v>
      </c>
    </row>
    <row r="603" spans="7:8">
      <c r="G603" t="s">
        <v>108</v>
      </c>
      <c r="H603">
        <v>21</v>
      </c>
    </row>
    <row r="604" spans="7:8">
      <c r="G604" t="s">
        <v>114</v>
      </c>
      <c r="H604">
        <v>32</v>
      </c>
    </row>
    <row r="605" spans="7:8">
      <c r="G605" t="s">
        <v>111</v>
      </c>
      <c r="H605">
        <v>23</v>
      </c>
    </row>
    <row r="606" spans="7:8">
      <c r="G606" t="s">
        <v>107</v>
      </c>
      <c r="H606">
        <v>11</v>
      </c>
    </row>
    <row r="607" spans="7:8">
      <c r="G607" t="s">
        <v>111</v>
      </c>
      <c r="H607">
        <v>23</v>
      </c>
    </row>
    <row r="608" spans="7:8">
      <c r="G608" t="s">
        <v>111</v>
      </c>
      <c r="H608">
        <v>23</v>
      </c>
    </row>
    <row r="609" spans="7:8">
      <c r="G609" t="s">
        <v>112</v>
      </c>
      <c r="H609">
        <v>22</v>
      </c>
    </row>
    <row r="610" spans="7:8">
      <c r="G610" t="s">
        <v>107</v>
      </c>
      <c r="H610">
        <v>11</v>
      </c>
    </row>
    <row r="611" spans="7:8">
      <c r="G611" t="s">
        <v>105</v>
      </c>
      <c r="H611">
        <v>14</v>
      </c>
    </row>
    <row r="612" spans="7:8">
      <c r="G612" t="s">
        <v>106</v>
      </c>
      <c r="H612">
        <v>41</v>
      </c>
    </row>
    <row r="613" spans="7:8">
      <c r="G613" t="s">
        <v>107</v>
      </c>
      <c r="H613">
        <v>11</v>
      </c>
    </row>
    <row r="614" spans="7:8">
      <c r="G614" t="s">
        <v>105</v>
      </c>
      <c r="H614">
        <v>14</v>
      </c>
    </row>
    <row r="615" spans="7:8">
      <c r="G615" t="s">
        <v>107</v>
      </c>
      <c r="H615">
        <v>11</v>
      </c>
    </row>
    <row r="616" spans="7:8">
      <c r="G616" t="s">
        <v>106</v>
      </c>
      <c r="H616">
        <v>41</v>
      </c>
    </row>
    <row r="617" spans="7:8">
      <c r="G617" t="s">
        <v>104</v>
      </c>
      <c r="H617">
        <v>31</v>
      </c>
    </row>
    <row r="618" spans="7:8">
      <c r="G618" t="s">
        <v>110</v>
      </c>
      <c r="H618">
        <v>43</v>
      </c>
    </row>
    <row r="619" spans="7:8">
      <c r="G619" t="s">
        <v>107</v>
      </c>
      <c r="H619">
        <v>11</v>
      </c>
    </row>
    <row r="620" spans="7:8">
      <c r="G620" t="s">
        <v>113</v>
      </c>
      <c r="H620">
        <v>13</v>
      </c>
    </row>
    <row r="621" spans="7:8">
      <c r="G621" t="s">
        <v>107</v>
      </c>
      <c r="H621">
        <v>11</v>
      </c>
    </row>
    <row r="622" spans="7:8">
      <c r="G622" t="s">
        <v>108</v>
      </c>
      <c r="H622">
        <v>21</v>
      </c>
    </row>
    <row r="623" spans="7:8">
      <c r="G623" t="s">
        <v>106</v>
      </c>
      <c r="H623">
        <v>41</v>
      </c>
    </row>
    <row r="624" spans="7:8">
      <c r="G624" t="s">
        <v>105</v>
      </c>
      <c r="H624">
        <v>14</v>
      </c>
    </row>
    <row r="625" spans="7:8">
      <c r="G625" t="s">
        <v>106</v>
      </c>
      <c r="H625">
        <v>41</v>
      </c>
    </row>
    <row r="626" spans="7:8">
      <c r="G626" t="s">
        <v>108</v>
      </c>
      <c r="H626">
        <v>21</v>
      </c>
    </row>
    <row r="627" spans="7:8">
      <c r="G627" t="s">
        <v>110</v>
      </c>
      <c r="H627">
        <v>43</v>
      </c>
    </row>
    <row r="628" spans="7:8">
      <c r="G628" t="s">
        <v>105</v>
      </c>
      <c r="H628">
        <v>14</v>
      </c>
    </row>
    <row r="629" spans="7:8">
      <c r="G629" t="s">
        <v>110</v>
      </c>
      <c r="H629">
        <v>43</v>
      </c>
    </row>
    <row r="630" spans="7:8">
      <c r="G630" t="s">
        <v>110</v>
      </c>
      <c r="H630">
        <v>43</v>
      </c>
    </row>
    <row r="631" spans="7:8">
      <c r="G631" t="s">
        <v>107</v>
      </c>
      <c r="H631">
        <v>11</v>
      </c>
    </row>
    <row r="632" spans="7:8">
      <c r="G632" t="s">
        <v>108</v>
      </c>
      <c r="H632">
        <v>21</v>
      </c>
    </row>
    <row r="633" spans="7:8">
      <c r="G633" t="s">
        <v>112</v>
      </c>
      <c r="H633">
        <v>22</v>
      </c>
    </row>
    <row r="634" spans="7:8">
      <c r="G634" t="s">
        <v>110</v>
      </c>
      <c r="H634">
        <v>43</v>
      </c>
    </row>
    <row r="635" spans="7:8">
      <c r="G635" t="s">
        <v>104</v>
      </c>
      <c r="H635">
        <v>31</v>
      </c>
    </row>
    <row r="636" spans="7:8">
      <c r="G636" t="s">
        <v>105</v>
      </c>
      <c r="H636">
        <v>14</v>
      </c>
    </row>
    <row r="637" spans="7:8">
      <c r="G637" t="s">
        <v>104</v>
      </c>
      <c r="H637">
        <v>31</v>
      </c>
    </row>
    <row r="638" spans="7:8">
      <c r="G638" t="s">
        <v>105</v>
      </c>
      <c r="H638">
        <v>14</v>
      </c>
    </row>
    <row r="639" spans="7:8">
      <c r="G639" t="s">
        <v>110</v>
      </c>
      <c r="H639">
        <v>43</v>
      </c>
    </row>
    <row r="640" spans="7:8">
      <c r="G640" t="s">
        <v>107</v>
      </c>
      <c r="H640">
        <v>11</v>
      </c>
    </row>
    <row r="641" spans="7:8">
      <c r="G641" t="s">
        <v>108</v>
      </c>
      <c r="H641">
        <v>21</v>
      </c>
    </row>
    <row r="642" spans="7:8">
      <c r="G642" t="s">
        <v>106</v>
      </c>
      <c r="H642">
        <v>41</v>
      </c>
    </row>
    <row r="643" spans="7:8">
      <c r="G643" t="s">
        <v>108</v>
      </c>
      <c r="H643">
        <v>21</v>
      </c>
    </row>
    <row r="644" spans="7:8">
      <c r="G644" t="s">
        <v>105</v>
      </c>
      <c r="H644">
        <v>14</v>
      </c>
    </row>
    <row r="645" spans="7:8">
      <c r="G645" t="s">
        <v>108</v>
      </c>
      <c r="H645">
        <v>21</v>
      </c>
    </row>
    <row r="646" spans="7:8">
      <c r="G646" t="s">
        <v>107</v>
      </c>
      <c r="H646">
        <v>11</v>
      </c>
    </row>
    <row r="647" spans="7:8">
      <c r="G647" t="s">
        <v>105</v>
      </c>
      <c r="H647">
        <v>14</v>
      </c>
    </row>
    <row r="648" spans="7:8">
      <c r="G648" t="s">
        <v>108</v>
      </c>
      <c r="H648">
        <v>21</v>
      </c>
    </row>
    <row r="649" spans="7:8">
      <c r="G649" t="s">
        <v>107</v>
      </c>
      <c r="H649">
        <v>11</v>
      </c>
    </row>
    <row r="650" spans="7:8">
      <c r="G650" t="s">
        <v>105</v>
      </c>
      <c r="H650">
        <v>14</v>
      </c>
    </row>
    <row r="651" spans="7:8">
      <c r="G651" t="s">
        <v>111</v>
      </c>
      <c r="H651">
        <v>23</v>
      </c>
    </row>
    <row r="652" spans="7:8">
      <c r="G652" t="s">
        <v>106</v>
      </c>
      <c r="H652">
        <v>41</v>
      </c>
    </row>
    <row r="653" spans="7:8">
      <c r="G653" t="s">
        <v>113</v>
      </c>
      <c r="H653">
        <v>13</v>
      </c>
    </row>
    <row r="654" spans="7:8">
      <c r="G654" t="s">
        <v>108</v>
      </c>
      <c r="H654">
        <v>21</v>
      </c>
    </row>
    <row r="655" spans="7:8">
      <c r="G655" t="s">
        <v>108</v>
      </c>
      <c r="H655">
        <v>21</v>
      </c>
    </row>
    <row r="656" spans="7:8">
      <c r="G656" t="s">
        <v>110</v>
      </c>
      <c r="H656">
        <v>43</v>
      </c>
    </row>
    <row r="657" spans="7:8">
      <c r="G657" t="s">
        <v>106</v>
      </c>
      <c r="H657">
        <v>41</v>
      </c>
    </row>
    <row r="658" spans="7:8">
      <c r="G658" t="s">
        <v>105</v>
      </c>
      <c r="H658">
        <v>14</v>
      </c>
    </row>
    <row r="659" spans="7:8">
      <c r="G659" t="s">
        <v>108</v>
      </c>
      <c r="H659">
        <v>21</v>
      </c>
    </row>
    <row r="660" spans="7:8">
      <c r="G660" t="s">
        <v>106</v>
      </c>
      <c r="H660">
        <v>41</v>
      </c>
    </row>
    <row r="661" spans="7:8">
      <c r="G661" t="s">
        <v>108</v>
      </c>
      <c r="H661">
        <v>21</v>
      </c>
    </row>
    <row r="662" spans="7:8">
      <c r="G662" t="s">
        <v>116</v>
      </c>
      <c r="H662">
        <v>42</v>
      </c>
    </row>
    <row r="663" spans="7:8">
      <c r="G663" t="s">
        <v>105</v>
      </c>
      <c r="H663">
        <v>14</v>
      </c>
    </row>
    <row r="664" spans="7:8">
      <c r="G664" t="s">
        <v>105</v>
      </c>
      <c r="H664">
        <v>14</v>
      </c>
    </row>
    <row r="665" spans="7:8">
      <c r="G665" t="s">
        <v>104</v>
      </c>
      <c r="H665">
        <v>31</v>
      </c>
    </row>
    <row r="666" spans="7:8">
      <c r="G666" t="s">
        <v>108</v>
      </c>
      <c r="H666">
        <v>21</v>
      </c>
    </row>
    <row r="667" spans="7:8">
      <c r="G667" t="s">
        <v>107</v>
      </c>
      <c r="H667">
        <v>11</v>
      </c>
    </row>
    <row r="668" spans="7:8">
      <c r="G668" t="s">
        <v>113</v>
      </c>
      <c r="H668">
        <v>13</v>
      </c>
    </row>
    <row r="669" spans="7:8">
      <c r="G669" t="s">
        <v>104</v>
      </c>
      <c r="H669">
        <v>31</v>
      </c>
    </row>
    <row r="670" spans="7:8">
      <c r="G670" t="s">
        <v>104</v>
      </c>
      <c r="H670">
        <v>31</v>
      </c>
    </row>
    <row r="671" spans="7:8">
      <c r="G671" t="s">
        <v>107</v>
      </c>
      <c r="H671">
        <v>11</v>
      </c>
    </row>
    <row r="672" spans="7:8">
      <c r="G672" t="s">
        <v>114</v>
      </c>
      <c r="H672">
        <v>32</v>
      </c>
    </row>
    <row r="673" spans="7:8">
      <c r="G673" t="s">
        <v>110</v>
      </c>
      <c r="H673">
        <v>43</v>
      </c>
    </row>
    <row r="674" spans="7:8">
      <c r="G674" t="s">
        <v>110</v>
      </c>
      <c r="H674">
        <v>43</v>
      </c>
    </row>
    <row r="675" spans="7:8">
      <c r="G675" t="s">
        <v>107</v>
      </c>
      <c r="H675">
        <v>11</v>
      </c>
    </row>
    <row r="676" spans="7:8">
      <c r="G676" t="s">
        <v>113</v>
      </c>
      <c r="H676">
        <v>13</v>
      </c>
    </row>
    <row r="677" spans="7:8">
      <c r="G677" t="s">
        <v>108</v>
      </c>
      <c r="H677">
        <v>21</v>
      </c>
    </row>
    <row r="678" spans="7:8">
      <c r="G678" t="s">
        <v>111</v>
      </c>
      <c r="H678">
        <v>23</v>
      </c>
    </row>
    <row r="679" spans="7:8">
      <c r="G679" t="s">
        <v>106</v>
      </c>
      <c r="H679">
        <v>41</v>
      </c>
    </row>
    <row r="680" spans="7:8">
      <c r="G680" t="s">
        <v>104</v>
      </c>
      <c r="H680">
        <v>31</v>
      </c>
    </row>
    <row r="681" spans="7:8">
      <c r="G681" t="s">
        <v>106</v>
      </c>
      <c r="H681">
        <v>41</v>
      </c>
    </row>
    <row r="682" spans="7:8">
      <c r="G682" t="s">
        <v>104</v>
      </c>
      <c r="H682">
        <v>31</v>
      </c>
    </row>
    <row r="683" spans="7:8">
      <c r="G683" t="s">
        <v>109</v>
      </c>
      <c r="H683">
        <v>33</v>
      </c>
    </row>
    <row r="684" spans="7:8">
      <c r="G684" t="s">
        <v>107</v>
      </c>
      <c r="H684">
        <v>11</v>
      </c>
    </row>
    <row r="685" spans="7:8">
      <c r="G685" t="s">
        <v>106</v>
      </c>
      <c r="H685">
        <v>41</v>
      </c>
    </row>
    <row r="686" spans="7:8">
      <c r="G686" t="s">
        <v>108</v>
      </c>
      <c r="H686">
        <v>21</v>
      </c>
    </row>
    <row r="687" spans="7:8">
      <c r="G687" t="s">
        <v>106</v>
      </c>
      <c r="H687">
        <v>41</v>
      </c>
    </row>
    <row r="688" spans="7:8">
      <c r="G688" t="s">
        <v>108</v>
      </c>
      <c r="H688">
        <v>21</v>
      </c>
    </row>
    <row r="689" spans="7:8">
      <c r="G689" t="s">
        <v>114</v>
      </c>
      <c r="H689">
        <v>32</v>
      </c>
    </row>
    <row r="690" spans="7:8">
      <c r="G690" t="s">
        <v>108</v>
      </c>
      <c r="H690">
        <v>21</v>
      </c>
    </row>
    <row r="691" spans="7:8">
      <c r="G691" t="s">
        <v>116</v>
      </c>
      <c r="H691">
        <v>42</v>
      </c>
    </row>
    <row r="692" spans="7:8">
      <c r="G692" t="s">
        <v>105</v>
      </c>
      <c r="H692">
        <v>14</v>
      </c>
    </row>
    <row r="693" spans="7:8">
      <c r="G693" t="s">
        <v>108</v>
      </c>
      <c r="H693">
        <v>21</v>
      </c>
    </row>
    <row r="694" spans="7:8">
      <c r="G694" t="s">
        <v>113</v>
      </c>
      <c r="H694">
        <v>13</v>
      </c>
    </row>
    <row r="695" spans="7:8">
      <c r="G695" t="s">
        <v>111</v>
      </c>
      <c r="H695">
        <v>23</v>
      </c>
    </row>
    <row r="696" spans="7:8">
      <c r="G696" t="s">
        <v>106</v>
      </c>
      <c r="H696">
        <v>41</v>
      </c>
    </row>
    <row r="697" spans="7:8">
      <c r="G697" t="s">
        <v>112</v>
      </c>
      <c r="H697">
        <v>22</v>
      </c>
    </row>
    <row r="698" spans="7:8">
      <c r="G698" t="s">
        <v>109</v>
      </c>
      <c r="H698">
        <v>33</v>
      </c>
    </row>
    <row r="699" spans="7:8">
      <c r="G699" t="s">
        <v>105</v>
      </c>
      <c r="H699">
        <v>14</v>
      </c>
    </row>
    <row r="700" spans="7:8">
      <c r="G700" t="s">
        <v>106</v>
      </c>
      <c r="H700">
        <v>41</v>
      </c>
    </row>
    <row r="701" spans="7:8">
      <c r="G701" t="s">
        <v>110</v>
      </c>
      <c r="H701">
        <v>43</v>
      </c>
    </row>
    <row r="702" spans="7:8">
      <c r="G702" t="s">
        <v>105</v>
      </c>
      <c r="H702">
        <v>14</v>
      </c>
    </row>
    <row r="703" spans="7:8">
      <c r="G703" t="s">
        <v>105</v>
      </c>
      <c r="H703">
        <v>14</v>
      </c>
    </row>
    <row r="704" spans="7:8">
      <c r="G704" t="s">
        <v>108</v>
      </c>
      <c r="H704">
        <v>21</v>
      </c>
    </row>
    <row r="705" spans="7:8">
      <c r="G705" t="s">
        <v>107</v>
      </c>
      <c r="H705">
        <v>11</v>
      </c>
    </row>
    <row r="706" spans="7:8">
      <c r="G706" t="s">
        <v>106</v>
      </c>
      <c r="H706">
        <v>41</v>
      </c>
    </row>
    <row r="707" spans="7:8">
      <c r="G707" t="s">
        <v>109</v>
      </c>
      <c r="H707">
        <v>33</v>
      </c>
    </row>
    <row r="708" spans="7:8">
      <c r="G708" t="s">
        <v>106</v>
      </c>
      <c r="H708">
        <v>41</v>
      </c>
    </row>
    <row r="709" spans="7:8">
      <c r="G709" t="s">
        <v>106</v>
      </c>
      <c r="H709">
        <v>41</v>
      </c>
    </row>
    <row r="710" spans="7:8">
      <c r="G710" t="s">
        <v>104</v>
      </c>
      <c r="H710">
        <v>31</v>
      </c>
    </row>
    <row r="711" spans="7:8">
      <c r="G711" t="s">
        <v>105</v>
      </c>
      <c r="H711">
        <v>14</v>
      </c>
    </row>
    <row r="712" spans="7:8">
      <c r="G712" t="s">
        <v>110</v>
      </c>
      <c r="H712">
        <v>43</v>
      </c>
    </row>
    <row r="713" spans="7:8">
      <c r="G713" t="s">
        <v>106</v>
      </c>
      <c r="H713">
        <v>41</v>
      </c>
    </row>
    <row r="714" spans="7:8">
      <c r="G714" t="s">
        <v>107</v>
      </c>
      <c r="H714">
        <v>11</v>
      </c>
    </row>
    <row r="715" spans="7:8">
      <c r="G715" t="s">
        <v>104</v>
      </c>
      <c r="H715">
        <v>31</v>
      </c>
    </row>
    <row r="716" spans="7:8">
      <c r="G716" t="s">
        <v>105</v>
      </c>
      <c r="H716">
        <v>14</v>
      </c>
    </row>
    <row r="717" spans="7:8">
      <c r="G717" t="s">
        <v>104</v>
      </c>
      <c r="H717">
        <v>31</v>
      </c>
    </row>
    <row r="718" spans="7:8">
      <c r="G718" t="s">
        <v>108</v>
      </c>
      <c r="H718">
        <v>21</v>
      </c>
    </row>
    <row r="719" spans="7:8">
      <c r="G719" t="s">
        <v>108</v>
      </c>
      <c r="H719">
        <v>21</v>
      </c>
    </row>
    <row r="720" spans="7:8">
      <c r="G720" t="s">
        <v>107</v>
      </c>
      <c r="H720">
        <v>11</v>
      </c>
    </row>
    <row r="721" spans="7:8">
      <c r="G721" t="s">
        <v>106</v>
      </c>
      <c r="H721">
        <v>41</v>
      </c>
    </row>
    <row r="722" spans="7:8">
      <c r="G722" t="s">
        <v>108</v>
      </c>
      <c r="H722">
        <v>21</v>
      </c>
    </row>
    <row r="723" spans="7:8">
      <c r="G723" t="s">
        <v>106</v>
      </c>
      <c r="H723">
        <v>41</v>
      </c>
    </row>
    <row r="724" spans="7:8">
      <c r="G724" t="s">
        <v>106</v>
      </c>
      <c r="H724">
        <v>41</v>
      </c>
    </row>
    <row r="725" spans="7:8">
      <c r="G725" t="s">
        <v>108</v>
      </c>
      <c r="H725">
        <v>21</v>
      </c>
    </row>
    <row r="726" spans="7:8">
      <c r="G726" t="s">
        <v>108</v>
      </c>
      <c r="H726">
        <v>21</v>
      </c>
    </row>
    <row r="727" spans="7:8">
      <c r="G727" t="s">
        <v>111</v>
      </c>
      <c r="H727">
        <v>23</v>
      </c>
    </row>
    <row r="728" spans="7:8">
      <c r="G728" t="s">
        <v>114</v>
      </c>
      <c r="H728">
        <v>32</v>
      </c>
    </row>
    <row r="729" spans="7:8">
      <c r="G729" t="s">
        <v>108</v>
      </c>
      <c r="H729">
        <v>21</v>
      </c>
    </row>
    <row r="730" spans="7:8">
      <c r="G730" t="s">
        <v>110</v>
      </c>
      <c r="H730">
        <v>43</v>
      </c>
    </row>
    <row r="731" spans="7:8">
      <c r="G731" t="s">
        <v>107</v>
      </c>
      <c r="H731">
        <v>11</v>
      </c>
    </row>
    <row r="732" spans="7:8">
      <c r="G732" t="s">
        <v>105</v>
      </c>
      <c r="H732">
        <v>14</v>
      </c>
    </row>
    <row r="733" spans="7:8">
      <c r="G733" t="s">
        <v>105</v>
      </c>
      <c r="H733">
        <v>14</v>
      </c>
    </row>
    <row r="734" spans="7:8">
      <c r="G734" t="s">
        <v>104</v>
      </c>
      <c r="H734">
        <v>31</v>
      </c>
    </row>
    <row r="735" spans="7:8">
      <c r="G735" t="s">
        <v>108</v>
      </c>
      <c r="H735">
        <v>21</v>
      </c>
    </row>
    <row r="736" spans="7:8">
      <c r="G736" t="s">
        <v>108</v>
      </c>
      <c r="H736">
        <v>21</v>
      </c>
    </row>
    <row r="737" spans="7:8">
      <c r="G737" t="s">
        <v>105</v>
      </c>
      <c r="H737">
        <v>14</v>
      </c>
    </row>
    <row r="738" spans="7:8">
      <c r="G738" t="s">
        <v>108</v>
      </c>
      <c r="H738">
        <v>21</v>
      </c>
    </row>
    <row r="739" spans="7:8">
      <c r="G739" t="s">
        <v>106</v>
      </c>
      <c r="H739">
        <v>41</v>
      </c>
    </row>
    <row r="740" spans="7:8">
      <c r="G740" t="s">
        <v>108</v>
      </c>
      <c r="H740">
        <v>21</v>
      </c>
    </row>
    <row r="741" spans="7:8">
      <c r="G741" t="s">
        <v>105</v>
      </c>
      <c r="H741">
        <v>14</v>
      </c>
    </row>
    <row r="742" spans="7:8">
      <c r="G742" t="s">
        <v>105</v>
      </c>
      <c r="H742">
        <v>14</v>
      </c>
    </row>
    <row r="743" spans="7:8">
      <c r="G743" t="s">
        <v>107</v>
      </c>
      <c r="H743">
        <v>11</v>
      </c>
    </row>
    <row r="744" spans="7:8">
      <c r="G744" t="s">
        <v>107</v>
      </c>
      <c r="H744">
        <v>11</v>
      </c>
    </row>
    <row r="745" spans="7:8">
      <c r="G745" t="s">
        <v>104</v>
      </c>
      <c r="H745">
        <v>31</v>
      </c>
    </row>
    <row r="746" spans="7:8">
      <c r="G746" t="s">
        <v>106</v>
      </c>
      <c r="H746">
        <v>41</v>
      </c>
    </row>
    <row r="747" spans="7:8">
      <c r="G747" t="s">
        <v>104</v>
      </c>
      <c r="H747">
        <v>31</v>
      </c>
    </row>
    <row r="748" spans="7:8">
      <c r="G748" t="s">
        <v>110</v>
      </c>
      <c r="H748">
        <v>43</v>
      </c>
    </row>
    <row r="749" spans="7:8">
      <c r="G749" t="s">
        <v>108</v>
      </c>
      <c r="H749">
        <v>21</v>
      </c>
    </row>
    <row r="750" spans="7:8">
      <c r="G750" t="s">
        <v>108</v>
      </c>
      <c r="H750">
        <v>21</v>
      </c>
    </row>
    <row r="751" spans="7:8">
      <c r="G751" t="s">
        <v>112</v>
      </c>
      <c r="H751">
        <v>22</v>
      </c>
    </row>
    <row r="752" spans="7:8">
      <c r="G752" t="s">
        <v>106</v>
      </c>
      <c r="H752">
        <v>41</v>
      </c>
    </row>
    <row r="753" spans="7:8">
      <c r="G753" t="s">
        <v>114</v>
      </c>
      <c r="H753">
        <v>32</v>
      </c>
    </row>
    <row r="754" spans="7:8">
      <c r="G754" t="s">
        <v>114</v>
      </c>
      <c r="H754">
        <v>32</v>
      </c>
    </row>
    <row r="755" spans="7:8">
      <c r="G755" t="s">
        <v>106</v>
      </c>
      <c r="H755">
        <v>41</v>
      </c>
    </row>
    <row r="756" spans="7:8">
      <c r="G756" t="s">
        <v>105</v>
      </c>
      <c r="H756">
        <v>14</v>
      </c>
    </row>
    <row r="757" spans="7:8">
      <c r="G757" t="s">
        <v>112</v>
      </c>
      <c r="H757">
        <v>22</v>
      </c>
    </row>
    <row r="758" spans="7:8">
      <c r="G758" t="s">
        <v>110</v>
      </c>
      <c r="H758">
        <v>43</v>
      </c>
    </row>
    <row r="759" spans="7:8">
      <c r="G759" t="s">
        <v>109</v>
      </c>
      <c r="H759">
        <v>33</v>
      </c>
    </row>
    <row r="760" spans="7:8">
      <c r="G760" t="s">
        <v>110</v>
      </c>
      <c r="H760">
        <v>43</v>
      </c>
    </row>
    <row r="761" spans="7:8">
      <c r="G761" t="s">
        <v>113</v>
      </c>
      <c r="H761">
        <v>13</v>
      </c>
    </row>
    <row r="762" spans="7:8">
      <c r="G762" t="s">
        <v>109</v>
      </c>
      <c r="H762">
        <v>33</v>
      </c>
    </row>
    <row r="763" spans="7:8">
      <c r="G763" t="s">
        <v>111</v>
      </c>
      <c r="H763">
        <v>23</v>
      </c>
    </row>
    <row r="764" spans="7:8">
      <c r="G764" t="s">
        <v>108</v>
      </c>
      <c r="H764">
        <v>21</v>
      </c>
    </row>
    <row r="765" spans="7:8">
      <c r="G765" t="s">
        <v>110</v>
      </c>
      <c r="H765">
        <v>43</v>
      </c>
    </row>
    <row r="766" spans="7:8">
      <c r="G766" t="s">
        <v>107</v>
      </c>
      <c r="H766">
        <v>11</v>
      </c>
    </row>
    <row r="767" spans="7:8">
      <c r="G767" t="s">
        <v>106</v>
      </c>
      <c r="H767">
        <v>41</v>
      </c>
    </row>
    <row r="768" spans="7:8">
      <c r="G768" t="s">
        <v>108</v>
      </c>
      <c r="H768">
        <v>21</v>
      </c>
    </row>
    <row r="769" spans="7:8">
      <c r="G769" t="s">
        <v>107</v>
      </c>
      <c r="H769">
        <v>11</v>
      </c>
    </row>
    <row r="770" spans="7:8">
      <c r="G770" t="s">
        <v>105</v>
      </c>
      <c r="H770">
        <v>14</v>
      </c>
    </row>
    <row r="771" spans="7:8">
      <c r="G771" t="s">
        <v>112</v>
      </c>
      <c r="H771">
        <v>22</v>
      </c>
    </row>
    <row r="772" spans="7:8">
      <c r="G772" t="s">
        <v>105</v>
      </c>
      <c r="H772">
        <v>14</v>
      </c>
    </row>
    <row r="773" spans="7:8">
      <c r="G773" t="s">
        <v>110</v>
      </c>
      <c r="H773">
        <v>43</v>
      </c>
    </row>
    <row r="774" spans="7:8">
      <c r="G774" t="s">
        <v>104</v>
      </c>
      <c r="H774">
        <v>31</v>
      </c>
    </row>
    <row r="775" spans="7:8">
      <c r="G775" t="s">
        <v>104</v>
      </c>
      <c r="H775">
        <v>31</v>
      </c>
    </row>
    <row r="776" spans="7:8">
      <c r="G776" t="s">
        <v>113</v>
      </c>
      <c r="H776">
        <v>13</v>
      </c>
    </row>
    <row r="777" spans="7:8">
      <c r="G777" t="s">
        <v>106</v>
      </c>
      <c r="H777">
        <v>41</v>
      </c>
    </row>
    <row r="778" spans="7:8">
      <c r="G778" t="s">
        <v>113</v>
      </c>
      <c r="H778">
        <v>13</v>
      </c>
    </row>
    <row r="779" spans="7:8">
      <c r="G779" t="s">
        <v>107</v>
      </c>
      <c r="H779">
        <v>11</v>
      </c>
    </row>
    <row r="780" spans="7:8">
      <c r="G780" t="s">
        <v>113</v>
      </c>
      <c r="H780">
        <v>13</v>
      </c>
    </row>
    <row r="781" spans="7:8">
      <c r="G781" t="s">
        <v>109</v>
      </c>
      <c r="H781">
        <v>33</v>
      </c>
    </row>
    <row r="782" spans="7:8">
      <c r="G782" t="s">
        <v>107</v>
      </c>
      <c r="H782">
        <v>11</v>
      </c>
    </row>
    <row r="783" spans="7:8">
      <c r="G783" t="s">
        <v>110</v>
      </c>
      <c r="H783">
        <v>43</v>
      </c>
    </row>
    <row r="784" spans="7:8">
      <c r="G784" t="s">
        <v>110</v>
      </c>
      <c r="H784">
        <v>43</v>
      </c>
    </row>
    <row r="785" spans="7:8">
      <c r="G785" t="s">
        <v>106</v>
      </c>
      <c r="H785">
        <v>41</v>
      </c>
    </row>
    <row r="786" spans="7:8">
      <c r="G786" t="s">
        <v>110</v>
      </c>
      <c r="H786">
        <v>43</v>
      </c>
    </row>
    <row r="787" spans="7:8">
      <c r="G787" t="s">
        <v>108</v>
      </c>
      <c r="H787">
        <v>21</v>
      </c>
    </row>
    <row r="788" spans="7:8">
      <c r="G788" t="s">
        <v>109</v>
      </c>
      <c r="H788">
        <v>33</v>
      </c>
    </row>
    <row r="789" spans="7:8">
      <c r="G789" t="s">
        <v>113</v>
      </c>
      <c r="H789">
        <v>13</v>
      </c>
    </row>
    <row r="790" spans="7:8">
      <c r="G790" t="s">
        <v>108</v>
      </c>
      <c r="H790">
        <v>21</v>
      </c>
    </row>
    <row r="791" spans="7:8">
      <c r="G791" t="s">
        <v>108</v>
      </c>
      <c r="H791">
        <v>21</v>
      </c>
    </row>
    <row r="792" spans="7:8">
      <c r="G792" t="s">
        <v>108</v>
      </c>
      <c r="H792">
        <v>21</v>
      </c>
    </row>
    <row r="793" spans="7:8">
      <c r="G793" t="s">
        <v>104</v>
      </c>
      <c r="H793">
        <v>31</v>
      </c>
    </row>
    <row r="794" spans="7:8">
      <c r="G794" t="s">
        <v>106</v>
      </c>
      <c r="H794">
        <v>41</v>
      </c>
    </row>
    <row r="795" spans="7:8">
      <c r="G795" t="s">
        <v>104</v>
      </c>
      <c r="H795">
        <v>31</v>
      </c>
    </row>
    <row r="796" spans="7:8">
      <c r="G796" t="s">
        <v>108</v>
      </c>
      <c r="H796">
        <v>21</v>
      </c>
    </row>
    <row r="797" spans="7:8">
      <c r="G797" t="s">
        <v>108</v>
      </c>
      <c r="H797">
        <v>21</v>
      </c>
    </row>
    <row r="798" spans="7:8">
      <c r="G798" t="s">
        <v>109</v>
      </c>
      <c r="H798">
        <v>33</v>
      </c>
    </row>
    <row r="799" spans="7:8">
      <c r="G799" t="s">
        <v>113</v>
      </c>
      <c r="H799">
        <v>13</v>
      </c>
    </row>
    <row r="800" spans="7:8">
      <c r="G800" t="s">
        <v>109</v>
      </c>
      <c r="H800">
        <v>33</v>
      </c>
    </row>
    <row r="801" spans="7:8">
      <c r="G801" t="s">
        <v>106</v>
      </c>
      <c r="H801">
        <v>41</v>
      </c>
    </row>
    <row r="802" spans="7:8">
      <c r="G802" t="s">
        <v>109</v>
      </c>
      <c r="H802">
        <v>33</v>
      </c>
    </row>
    <row r="803" spans="7:8">
      <c r="G803" t="s">
        <v>110</v>
      </c>
      <c r="H803">
        <v>43</v>
      </c>
    </row>
    <row r="804" spans="7:8">
      <c r="G804" t="s">
        <v>113</v>
      </c>
      <c r="H804">
        <v>13</v>
      </c>
    </row>
    <row r="805" spans="7:8">
      <c r="G805" t="s">
        <v>116</v>
      </c>
      <c r="H805">
        <v>42</v>
      </c>
    </row>
    <row r="806" spans="7:8">
      <c r="G806" t="s">
        <v>108</v>
      </c>
      <c r="H806">
        <v>21</v>
      </c>
    </row>
    <row r="807" spans="7:8">
      <c r="G807" t="s">
        <v>108</v>
      </c>
      <c r="H807">
        <v>21</v>
      </c>
    </row>
    <row r="808" spans="7:8">
      <c r="G808" t="s">
        <v>111</v>
      </c>
      <c r="H808">
        <v>23</v>
      </c>
    </row>
    <row r="809" spans="7:8">
      <c r="G809" t="s">
        <v>108</v>
      </c>
      <c r="H809">
        <v>21</v>
      </c>
    </row>
    <row r="810" spans="7:8">
      <c r="G810" t="s">
        <v>108</v>
      </c>
      <c r="H810">
        <v>21</v>
      </c>
    </row>
    <row r="811" spans="7:8">
      <c r="G811" t="s">
        <v>112</v>
      </c>
      <c r="H811">
        <v>22</v>
      </c>
    </row>
    <row r="812" spans="7:8">
      <c r="G812" t="s">
        <v>109</v>
      </c>
      <c r="H812">
        <v>33</v>
      </c>
    </row>
    <row r="813" spans="7:8">
      <c r="G813" t="s">
        <v>110</v>
      </c>
      <c r="H813">
        <v>43</v>
      </c>
    </row>
    <row r="814" spans="7:8">
      <c r="G814" t="s">
        <v>106</v>
      </c>
      <c r="H814">
        <v>41</v>
      </c>
    </row>
    <row r="815" spans="7:8">
      <c r="G815" t="s">
        <v>108</v>
      </c>
      <c r="H815">
        <v>21</v>
      </c>
    </row>
    <row r="816" spans="7:8">
      <c r="G816" t="s">
        <v>110</v>
      </c>
      <c r="H816">
        <v>43</v>
      </c>
    </row>
    <row r="817" spans="7:8">
      <c r="G817" t="s">
        <v>112</v>
      </c>
      <c r="H817">
        <v>22</v>
      </c>
    </row>
    <row r="818" spans="7:8">
      <c r="G818" t="s">
        <v>112</v>
      </c>
      <c r="H818">
        <v>22</v>
      </c>
    </row>
    <row r="819" spans="7:8">
      <c r="G819" t="s">
        <v>108</v>
      </c>
      <c r="H819">
        <v>21</v>
      </c>
    </row>
    <row r="820" spans="7:8">
      <c r="G820" t="s">
        <v>110</v>
      </c>
      <c r="H820">
        <v>43</v>
      </c>
    </row>
    <row r="821" spans="7:8">
      <c r="G821" t="s">
        <v>105</v>
      </c>
      <c r="H821">
        <v>14</v>
      </c>
    </row>
    <row r="822" spans="7:8">
      <c r="G822" t="s">
        <v>105</v>
      </c>
      <c r="H822">
        <v>14</v>
      </c>
    </row>
    <row r="823" spans="7:8">
      <c r="G823" t="s">
        <v>107</v>
      </c>
      <c r="H823">
        <v>11</v>
      </c>
    </row>
    <row r="824" spans="7:8">
      <c r="G824" t="s">
        <v>113</v>
      </c>
      <c r="H824">
        <v>13</v>
      </c>
    </row>
    <row r="825" spans="7:8">
      <c r="G825" t="s">
        <v>110</v>
      </c>
      <c r="H825">
        <v>43</v>
      </c>
    </row>
    <row r="826" spans="7:8">
      <c r="G826" t="s">
        <v>104</v>
      </c>
      <c r="H826">
        <v>31</v>
      </c>
    </row>
    <row r="827" spans="7:8">
      <c r="G827" t="s">
        <v>106</v>
      </c>
      <c r="H827">
        <v>41</v>
      </c>
    </row>
    <row r="828" spans="7:8">
      <c r="G828" t="s">
        <v>113</v>
      </c>
      <c r="H828">
        <v>13</v>
      </c>
    </row>
    <row r="829" spans="7:8">
      <c r="G829" t="s">
        <v>110</v>
      </c>
      <c r="H829">
        <v>43</v>
      </c>
    </row>
    <row r="830" spans="7:8">
      <c r="G830" t="s">
        <v>110</v>
      </c>
      <c r="H830">
        <v>43</v>
      </c>
    </row>
    <row r="831" spans="7:8">
      <c r="G831" t="s">
        <v>108</v>
      </c>
      <c r="H831">
        <v>21</v>
      </c>
    </row>
    <row r="832" spans="7:8">
      <c r="G832" t="s">
        <v>105</v>
      </c>
      <c r="H832">
        <v>14</v>
      </c>
    </row>
    <row r="833" spans="7:8">
      <c r="G833" t="s">
        <v>110</v>
      </c>
      <c r="H833">
        <v>43</v>
      </c>
    </row>
    <row r="834" spans="7:8">
      <c r="G834" t="s">
        <v>108</v>
      </c>
      <c r="H834">
        <v>21</v>
      </c>
    </row>
    <row r="835" spans="7:8">
      <c r="G835" t="s">
        <v>106</v>
      </c>
      <c r="H835">
        <v>41</v>
      </c>
    </row>
    <row r="836" spans="7:8">
      <c r="G836" t="s">
        <v>105</v>
      </c>
      <c r="H836">
        <v>14</v>
      </c>
    </row>
    <row r="837" spans="7:8">
      <c r="G837" t="s">
        <v>107</v>
      </c>
      <c r="H837">
        <v>11</v>
      </c>
    </row>
    <row r="838" spans="7:8">
      <c r="G838" t="s">
        <v>107</v>
      </c>
      <c r="H838">
        <v>11</v>
      </c>
    </row>
    <row r="839" spans="7:8">
      <c r="G839" t="s">
        <v>110</v>
      </c>
      <c r="H839">
        <v>43</v>
      </c>
    </row>
    <row r="840" spans="7:8">
      <c r="G840" t="s">
        <v>107</v>
      </c>
      <c r="H840">
        <v>11</v>
      </c>
    </row>
    <row r="841" spans="7:8">
      <c r="G841" t="s">
        <v>107</v>
      </c>
      <c r="H841">
        <v>11</v>
      </c>
    </row>
    <row r="842" spans="7:8">
      <c r="G842" t="s">
        <v>106</v>
      </c>
      <c r="H842">
        <v>41</v>
      </c>
    </row>
    <row r="843" spans="7:8">
      <c r="G843" t="s">
        <v>114</v>
      </c>
      <c r="H843">
        <v>32</v>
      </c>
    </row>
    <row r="844" spans="7:8">
      <c r="G844" t="s">
        <v>107</v>
      </c>
      <c r="H844">
        <v>11</v>
      </c>
    </row>
    <row r="845" spans="7:8">
      <c r="G845" t="s">
        <v>108</v>
      </c>
      <c r="H845">
        <v>21</v>
      </c>
    </row>
    <row r="846" spans="7:8">
      <c r="G846" t="s">
        <v>106</v>
      </c>
      <c r="H846">
        <v>41</v>
      </c>
    </row>
    <row r="847" spans="7:8">
      <c r="G847" t="s">
        <v>113</v>
      </c>
      <c r="H847">
        <v>13</v>
      </c>
    </row>
    <row r="848" spans="7:8">
      <c r="G848" t="s">
        <v>113</v>
      </c>
      <c r="H848">
        <v>13</v>
      </c>
    </row>
    <row r="849" spans="7:8">
      <c r="G849" t="s">
        <v>109</v>
      </c>
      <c r="H849">
        <v>33</v>
      </c>
    </row>
    <row r="850" spans="7:8">
      <c r="G850" t="s">
        <v>113</v>
      </c>
      <c r="H850">
        <v>13</v>
      </c>
    </row>
    <row r="851" spans="7:8">
      <c r="G851" t="s">
        <v>108</v>
      </c>
      <c r="H851">
        <v>21</v>
      </c>
    </row>
    <row r="852" spans="7:8">
      <c r="G852" t="s">
        <v>108</v>
      </c>
      <c r="H852">
        <v>21</v>
      </c>
    </row>
    <row r="853" spans="7:8">
      <c r="G853" t="s">
        <v>106</v>
      </c>
      <c r="H853">
        <v>41</v>
      </c>
    </row>
    <row r="854" spans="7:8">
      <c r="G854" t="s">
        <v>108</v>
      </c>
      <c r="H854">
        <v>21</v>
      </c>
    </row>
    <row r="855" spans="7:8">
      <c r="G855" t="s">
        <v>107</v>
      </c>
      <c r="H855">
        <v>11</v>
      </c>
    </row>
    <row r="856" spans="7:8">
      <c r="G856" t="s">
        <v>108</v>
      </c>
      <c r="H856">
        <v>21</v>
      </c>
    </row>
    <row r="857" spans="7:8">
      <c r="G857" t="s">
        <v>106</v>
      </c>
      <c r="H857">
        <v>41</v>
      </c>
    </row>
    <row r="858" spans="7:8">
      <c r="G858" t="s">
        <v>108</v>
      </c>
      <c r="H858">
        <v>21</v>
      </c>
    </row>
    <row r="859" spans="7:8">
      <c r="G859" t="s">
        <v>108</v>
      </c>
      <c r="H859">
        <v>21</v>
      </c>
    </row>
    <row r="860" spans="7:8">
      <c r="G860" t="s">
        <v>106</v>
      </c>
      <c r="H860">
        <v>41</v>
      </c>
    </row>
    <row r="861" spans="7:8">
      <c r="G861" t="s">
        <v>108</v>
      </c>
      <c r="H861">
        <v>21</v>
      </c>
    </row>
    <row r="862" spans="7:8">
      <c r="G862" t="s">
        <v>110</v>
      </c>
      <c r="H862">
        <v>43</v>
      </c>
    </row>
    <row r="863" spans="7:8">
      <c r="G863" t="s">
        <v>109</v>
      </c>
      <c r="H863">
        <v>33</v>
      </c>
    </row>
    <row r="864" spans="7:8">
      <c r="G864" t="s">
        <v>113</v>
      </c>
      <c r="H864">
        <v>13</v>
      </c>
    </row>
    <row r="865" spans="7:8">
      <c r="G865" t="s">
        <v>109</v>
      </c>
      <c r="H865">
        <v>33</v>
      </c>
    </row>
    <row r="866" spans="7:8">
      <c r="G866" t="s">
        <v>109</v>
      </c>
      <c r="H866">
        <v>33</v>
      </c>
    </row>
    <row r="867" spans="7:8">
      <c r="G867" t="s">
        <v>107</v>
      </c>
      <c r="H867">
        <v>11</v>
      </c>
    </row>
    <row r="868" spans="7:8">
      <c r="G868" t="s">
        <v>108</v>
      </c>
      <c r="H868">
        <v>21</v>
      </c>
    </row>
    <row r="869" spans="7:8">
      <c r="G869" t="s">
        <v>114</v>
      </c>
      <c r="H869">
        <v>32</v>
      </c>
    </row>
    <row r="870" spans="7:8">
      <c r="G870" t="s">
        <v>113</v>
      </c>
      <c r="H870">
        <v>13</v>
      </c>
    </row>
    <row r="871" spans="7:8">
      <c r="G871" t="s">
        <v>113</v>
      </c>
      <c r="H871">
        <v>13</v>
      </c>
    </row>
    <row r="872" spans="7:8">
      <c r="G872" t="s">
        <v>111</v>
      </c>
      <c r="H872">
        <v>23</v>
      </c>
    </row>
    <row r="873" spans="7:8">
      <c r="G873" t="s">
        <v>109</v>
      </c>
      <c r="H873">
        <v>33</v>
      </c>
    </row>
    <row r="874" spans="7:8">
      <c r="G874" t="s">
        <v>116</v>
      </c>
      <c r="H874">
        <v>42</v>
      </c>
    </row>
    <row r="875" spans="7:8">
      <c r="G875" t="s">
        <v>104</v>
      </c>
      <c r="H875">
        <v>31</v>
      </c>
    </row>
    <row r="876" spans="7:8">
      <c r="G876" t="s">
        <v>112</v>
      </c>
      <c r="H876">
        <v>22</v>
      </c>
    </row>
    <row r="877" spans="7:8">
      <c r="G877" t="s">
        <v>113</v>
      </c>
      <c r="H877">
        <v>13</v>
      </c>
    </row>
    <row r="878" spans="7:8">
      <c r="G878" t="s">
        <v>108</v>
      </c>
      <c r="H878">
        <v>21</v>
      </c>
    </row>
    <row r="879" spans="7:8">
      <c r="G879" t="s">
        <v>108</v>
      </c>
      <c r="H879">
        <v>21</v>
      </c>
    </row>
    <row r="880" spans="7:8">
      <c r="G880" t="s">
        <v>107</v>
      </c>
      <c r="H880">
        <v>11</v>
      </c>
    </row>
    <row r="881" spans="7:8">
      <c r="G881" t="s">
        <v>106</v>
      </c>
      <c r="H881">
        <v>41</v>
      </c>
    </row>
    <row r="882" spans="7:8">
      <c r="G882" t="s">
        <v>109</v>
      </c>
      <c r="H882">
        <v>33</v>
      </c>
    </row>
    <row r="883" spans="7:8">
      <c r="G883" t="s">
        <v>108</v>
      </c>
      <c r="H883">
        <v>21</v>
      </c>
    </row>
    <row r="884" spans="7:8">
      <c r="G884" t="s">
        <v>116</v>
      </c>
      <c r="H884">
        <v>42</v>
      </c>
    </row>
    <row r="885" spans="7:8">
      <c r="G885" t="s">
        <v>108</v>
      </c>
      <c r="H885">
        <v>21</v>
      </c>
    </row>
    <row r="886" spans="7:8">
      <c r="G886" t="s">
        <v>108</v>
      </c>
      <c r="H886">
        <v>21</v>
      </c>
    </row>
    <row r="887" spans="7:8">
      <c r="G887" t="s">
        <v>110</v>
      </c>
      <c r="H887">
        <v>43</v>
      </c>
    </row>
    <row r="888" spans="7:8">
      <c r="G888" t="s">
        <v>110</v>
      </c>
      <c r="H888">
        <v>43</v>
      </c>
    </row>
    <row r="889" spans="7:8">
      <c r="G889" t="s">
        <v>114</v>
      </c>
      <c r="H889">
        <v>32</v>
      </c>
    </row>
    <row r="890" spans="7:8">
      <c r="G890" t="s">
        <v>107</v>
      </c>
      <c r="H890">
        <v>11</v>
      </c>
    </row>
    <row r="891" spans="7:8">
      <c r="G891" t="s">
        <v>106</v>
      </c>
      <c r="H891">
        <v>41</v>
      </c>
    </row>
    <row r="892" spans="7:8">
      <c r="G892" t="s">
        <v>112</v>
      </c>
      <c r="H892">
        <v>22</v>
      </c>
    </row>
    <row r="893" spans="7:8">
      <c r="G893" t="s">
        <v>109</v>
      </c>
      <c r="H893">
        <v>33</v>
      </c>
    </row>
    <row r="894" spans="7:8">
      <c r="G894" t="s">
        <v>108</v>
      </c>
      <c r="H894">
        <v>21</v>
      </c>
    </row>
    <row r="895" spans="7:8">
      <c r="G895" t="s">
        <v>106</v>
      </c>
      <c r="H895">
        <v>41</v>
      </c>
    </row>
    <row r="896" spans="7:8">
      <c r="G896" t="s">
        <v>106</v>
      </c>
      <c r="H896">
        <v>41</v>
      </c>
    </row>
    <row r="897" spans="7:8">
      <c r="G897" t="s">
        <v>104</v>
      </c>
      <c r="H897">
        <v>31</v>
      </c>
    </row>
    <row r="898" spans="7:8">
      <c r="G898" t="s">
        <v>111</v>
      </c>
      <c r="H898">
        <v>23</v>
      </c>
    </row>
    <row r="899" spans="7:8">
      <c r="G899" t="s">
        <v>104</v>
      </c>
      <c r="H899">
        <v>31</v>
      </c>
    </row>
    <row r="900" spans="7:8">
      <c r="G900" t="s">
        <v>110</v>
      </c>
      <c r="H900">
        <v>43</v>
      </c>
    </row>
    <row r="901" spans="7:8">
      <c r="G901" t="s">
        <v>111</v>
      </c>
      <c r="H901">
        <v>23</v>
      </c>
    </row>
    <row r="902" spans="7:8">
      <c r="G902" t="s">
        <v>116</v>
      </c>
      <c r="H902">
        <v>42</v>
      </c>
    </row>
    <row r="903" spans="7:8">
      <c r="G903" t="s">
        <v>107</v>
      </c>
      <c r="H903">
        <v>11</v>
      </c>
    </row>
    <row r="904" spans="7:8">
      <c r="G904" t="s">
        <v>109</v>
      </c>
      <c r="H904">
        <v>33</v>
      </c>
    </row>
    <row r="905" spans="7:8">
      <c r="G905" t="s">
        <v>110</v>
      </c>
      <c r="H905">
        <v>43</v>
      </c>
    </row>
    <row r="906" spans="7:8">
      <c r="G906" t="s">
        <v>105</v>
      </c>
      <c r="H906">
        <v>14</v>
      </c>
    </row>
    <row r="907" spans="7:8">
      <c r="G907" t="s">
        <v>107</v>
      </c>
      <c r="H907">
        <v>11</v>
      </c>
    </row>
    <row r="908" spans="7:8">
      <c r="G908" t="s">
        <v>108</v>
      </c>
      <c r="H908">
        <v>21</v>
      </c>
    </row>
    <row r="909" spans="7:8">
      <c r="G909" t="s">
        <v>107</v>
      </c>
      <c r="H909">
        <v>11</v>
      </c>
    </row>
    <row r="910" spans="7:8">
      <c r="G910" t="s">
        <v>113</v>
      </c>
      <c r="H910">
        <v>13</v>
      </c>
    </row>
    <row r="911" spans="7:8">
      <c r="G911" t="s">
        <v>104</v>
      </c>
      <c r="H911">
        <v>31</v>
      </c>
    </row>
    <row r="912" spans="7:8">
      <c r="G912" t="s">
        <v>108</v>
      </c>
      <c r="H912">
        <v>21</v>
      </c>
    </row>
    <row r="913" spans="7:8">
      <c r="G913" t="s">
        <v>108</v>
      </c>
      <c r="H913">
        <v>21</v>
      </c>
    </row>
    <row r="914" spans="7:8">
      <c r="G914" t="s">
        <v>110</v>
      </c>
      <c r="H914">
        <v>43</v>
      </c>
    </row>
    <row r="915" spans="7:8">
      <c r="G915" t="s">
        <v>104</v>
      </c>
      <c r="H915">
        <v>31</v>
      </c>
    </row>
    <row r="916" spans="7:8">
      <c r="G916" t="s">
        <v>108</v>
      </c>
      <c r="H916">
        <v>21</v>
      </c>
    </row>
    <row r="917" spans="7:8">
      <c r="G917" t="s">
        <v>104</v>
      </c>
      <c r="H917">
        <v>31</v>
      </c>
    </row>
    <row r="918" spans="7:8">
      <c r="G918" t="s">
        <v>107</v>
      </c>
      <c r="H918">
        <v>11</v>
      </c>
    </row>
    <row r="919" spans="7:8">
      <c r="G919" t="s">
        <v>110</v>
      </c>
      <c r="H919">
        <v>43</v>
      </c>
    </row>
    <row r="920" spans="7:8">
      <c r="G920" t="s">
        <v>106</v>
      </c>
      <c r="H920">
        <v>41</v>
      </c>
    </row>
    <row r="921" spans="7:8">
      <c r="G921" t="s">
        <v>107</v>
      </c>
      <c r="H921">
        <v>11</v>
      </c>
    </row>
    <row r="922" spans="7:8">
      <c r="G922" t="s">
        <v>106</v>
      </c>
      <c r="H922">
        <v>41</v>
      </c>
    </row>
    <row r="923" spans="7:8">
      <c r="G923" t="s">
        <v>110</v>
      </c>
      <c r="H923">
        <v>43</v>
      </c>
    </row>
    <row r="924" spans="7:8">
      <c r="G924" t="s">
        <v>104</v>
      </c>
      <c r="H924">
        <v>31</v>
      </c>
    </row>
    <row r="925" spans="7:8">
      <c r="G925" t="s">
        <v>107</v>
      </c>
      <c r="H925">
        <v>11</v>
      </c>
    </row>
    <row r="926" spans="7:8">
      <c r="G926" t="s">
        <v>109</v>
      </c>
      <c r="H926">
        <v>33</v>
      </c>
    </row>
    <row r="927" spans="7:8">
      <c r="G927" t="s">
        <v>113</v>
      </c>
      <c r="H927">
        <v>13</v>
      </c>
    </row>
    <row r="928" spans="7:8">
      <c r="G928" t="s">
        <v>107</v>
      </c>
      <c r="H928">
        <v>11</v>
      </c>
    </row>
    <row r="929" spans="7:8">
      <c r="G929" t="s">
        <v>106</v>
      </c>
      <c r="H929">
        <v>41</v>
      </c>
    </row>
    <row r="930" spans="7:8">
      <c r="G930" t="s">
        <v>108</v>
      </c>
      <c r="H930">
        <v>21</v>
      </c>
    </row>
    <row r="931" spans="7:8">
      <c r="G931" t="s">
        <v>106</v>
      </c>
      <c r="H931">
        <v>41</v>
      </c>
    </row>
    <row r="932" spans="7:8">
      <c r="G932" t="s">
        <v>108</v>
      </c>
      <c r="H932">
        <v>21</v>
      </c>
    </row>
    <row r="933" spans="7:8">
      <c r="G933" t="s">
        <v>108</v>
      </c>
      <c r="H933">
        <v>21</v>
      </c>
    </row>
    <row r="934" spans="7:8">
      <c r="G934" t="s">
        <v>107</v>
      </c>
      <c r="H934">
        <v>11</v>
      </c>
    </row>
    <row r="935" spans="7:8">
      <c r="G935" t="s">
        <v>113</v>
      </c>
      <c r="H935">
        <v>13</v>
      </c>
    </row>
    <row r="936" spans="7:8">
      <c r="G936" t="s">
        <v>110</v>
      </c>
      <c r="H936">
        <v>43</v>
      </c>
    </row>
    <row r="937" spans="7:8">
      <c r="G937" t="s">
        <v>114</v>
      </c>
      <c r="H937">
        <v>32</v>
      </c>
    </row>
    <row r="938" spans="7:8">
      <c r="G938" t="s">
        <v>106</v>
      </c>
      <c r="H938">
        <v>41</v>
      </c>
    </row>
    <row r="939" spans="7:8">
      <c r="G939" t="s">
        <v>112</v>
      </c>
      <c r="H939">
        <v>22</v>
      </c>
    </row>
    <row r="940" spans="7:8">
      <c r="G940" t="s">
        <v>106</v>
      </c>
      <c r="H940">
        <v>41</v>
      </c>
    </row>
    <row r="941" spans="7:8">
      <c r="G941" t="s">
        <v>108</v>
      </c>
      <c r="H941">
        <v>21</v>
      </c>
    </row>
    <row r="942" spans="7:8">
      <c r="G942" t="s">
        <v>117</v>
      </c>
      <c r="H942">
        <v>12</v>
      </c>
    </row>
    <row r="943" spans="7:8">
      <c r="G943" t="s">
        <v>112</v>
      </c>
      <c r="H943">
        <v>22</v>
      </c>
    </row>
    <row r="944" spans="7:8">
      <c r="G944" t="s">
        <v>106</v>
      </c>
      <c r="H944">
        <v>41</v>
      </c>
    </row>
    <row r="945" spans="7:8">
      <c r="G945" t="s">
        <v>117</v>
      </c>
      <c r="H945">
        <v>12</v>
      </c>
    </row>
    <row r="946" spans="7:8">
      <c r="G946" t="s">
        <v>105</v>
      </c>
      <c r="H946">
        <v>14</v>
      </c>
    </row>
    <row r="947" spans="7:8">
      <c r="G947" t="s">
        <v>106</v>
      </c>
      <c r="H947">
        <v>41</v>
      </c>
    </row>
    <row r="948" spans="7:8">
      <c r="G948" t="s">
        <v>104</v>
      </c>
      <c r="H948">
        <v>31</v>
      </c>
    </row>
    <row r="949" spans="7:8">
      <c r="G949" t="s">
        <v>106</v>
      </c>
      <c r="H949">
        <v>41</v>
      </c>
    </row>
    <row r="950" spans="7:8">
      <c r="G950" t="s">
        <v>108</v>
      </c>
      <c r="H950">
        <v>21</v>
      </c>
    </row>
    <row r="951" spans="7:8">
      <c r="G951" t="s">
        <v>112</v>
      </c>
      <c r="H951">
        <v>22</v>
      </c>
    </row>
    <row r="952" spans="7:8">
      <c r="G952" t="s">
        <v>108</v>
      </c>
      <c r="H952">
        <v>21</v>
      </c>
    </row>
    <row r="953" spans="7:8">
      <c r="G953" t="s">
        <v>106</v>
      </c>
      <c r="H953">
        <v>41</v>
      </c>
    </row>
    <row r="954" spans="7:8">
      <c r="G954" t="s">
        <v>113</v>
      </c>
      <c r="H954">
        <v>13</v>
      </c>
    </row>
    <row r="955" spans="7:8">
      <c r="G955" t="s">
        <v>104</v>
      </c>
      <c r="H955">
        <v>31</v>
      </c>
    </row>
    <row r="956" spans="7:8">
      <c r="G956" t="s">
        <v>105</v>
      </c>
      <c r="H956">
        <v>14</v>
      </c>
    </row>
    <row r="957" spans="7:8">
      <c r="G957" t="s">
        <v>106</v>
      </c>
      <c r="H957">
        <v>41</v>
      </c>
    </row>
    <row r="958" spans="7:8">
      <c r="G958" t="s">
        <v>106</v>
      </c>
      <c r="H958">
        <v>41</v>
      </c>
    </row>
    <row r="959" spans="7:8">
      <c r="G959" t="s">
        <v>107</v>
      </c>
      <c r="H959">
        <v>11</v>
      </c>
    </row>
    <row r="960" spans="7:8">
      <c r="G960" t="s">
        <v>112</v>
      </c>
      <c r="H960">
        <v>22</v>
      </c>
    </row>
    <row r="961" spans="7:8">
      <c r="G961" t="s">
        <v>105</v>
      </c>
      <c r="H961">
        <v>14</v>
      </c>
    </row>
    <row r="962" spans="7:8">
      <c r="G962" t="s">
        <v>105</v>
      </c>
      <c r="H962">
        <v>14</v>
      </c>
    </row>
    <row r="963" spans="7:8">
      <c r="G963" t="s">
        <v>107</v>
      </c>
      <c r="H963">
        <v>11</v>
      </c>
    </row>
    <row r="964" spans="7:8">
      <c r="G964" t="s">
        <v>104</v>
      </c>
      <c r="H964">
        <v>31</v>
      </c>
    </row>
    <row r="965" spans="7:8">
      <c r="G965" t="s">
        <v>105</v>
      </c>
      <c r="H965">
        <v>14</v>
      </c>
    </row>
    <row r="966" spans="7:8">
      <c r="G966" t="s">
        <v>105</v>
      </c>
      <c r="H966">
        <v>14</v>
      </c>
    </row>
    <row r="967" spans="7:8">
      <c r="G967" t="s">
        <v>105</v>
      </c>
      <c r="H967">
        <v>14</v>
      </c>
    </row>
    <row r="968" spans="7:8">
      <c r="G968" t="s">
        <v>111</v>
      </c>
      <c r="H968">
        <v>23</v>
      </c>
    </row>
    <row r="969" spans="7:8">
      <c r="G969" t="s">
        <v>113</v>
      </c>
      <c r="H969">
        <v>13</v>
      </c>
    </row>
    <row r="970" spans="7:8">
      <c r="G970" t="s">
        <v>109</v>
      </c>
      <c r="H970">
        <v>33</v>
      </c>
    </row>
    <row r="971" spans="7:8">
      <c r="G971" t="s">
        <v>108</v>
      </c>
      <c r="H971">
        <v>21</v>
      </c>
    </row>
    <row r="972" spans="7:8">
      <c r="G972" t="s">
        <v>108</v>
      </c>
      <c r="H972">
        <v>21</v>
      </c>
    </row>
    <row r="973" spans="7:8">
      <c r="G973" t="s">
        <v>106</v>
      </c>
      <c r="H973">
        <v>41</v>
      </c>
    </row>
    <row r="974" spans="7:8">
      <c r="G974" t="s">
        <v>113</v>
      </c>
      <c r="H974">
        <v>13</v>
      </c>
    </row>
    <row r="975" spans="7:8">
      <c r="G975" t="s">
        <v>107</v>
      </c>
      <c r="H975">
        <v>11</v>
      </c>
    </row>
    <row r="976" spans="7:8">
      <c r="G976" t="s">
        <v>107</v>
      </c>
      <c r="H976">
        <v>11</v>
      </c>
    </row>
    <row r="977" spans="7:8">
      <c r="G977" t="s">
        <v>113</v>
      </c>
      <c r="H977">
        <v>13</v>
      </c>
    </row>
    <row r="978" spans="7:8">
      <c r="G978" t="s">
        <v>108</v>
      </c>
      <c r="H978">
        <v>21</v>
      </c>
    </row>
    <row r="979" spans="7:8">
      <c r="G979" t="s">
        <v>106</v>
      </c>
      <c r="H979">
        <v>41</v>
      </c>
    </row>
    <row r="980" spans="7:8">
      <c r="G980" t="s">
        <v>107</v>
      </c>
      <c r="H980">
        <v>11</v>
      </c>
    </row>
    <row r="981" spans="7:8">
      <c r="G981" t="s">
        <v>104</v>
      </c>
      <c r="H981">
        <v>31</v>
      </c>
    </row>
    <row r="982" spans="7:8">
      <c r="G982" t="s">
        <v>113</v>
      </c>
      <c r="H982">
        <v>13</v>
      </c>
    </row>
    <row r="983" spans="7:8">
      <c r="G983" t="s">
        <v>108</v>
      </c>
      <c r="H983">
        <v>21</v>
      </c>
    </row>
    <row r="984" spans="7:8">
      <c r="G984" t="s">
        <v>106</v>
      </c>
      <c r="H984">
        <v>41</v>
      </c>
    </row>
    <row r="985" spans="7:8">
      <c r="G985" t="s">
        <v>109</v>
      </c>
      <c r="H985">
        <v>33</v>
      </c>
    </row>
    <row r="986" spans="7:8">
      <c r="G986" t="s">
        <v>110</v>
      </c>
      <c r="H986">
        <v>43</v>
      </c>
    </row>
    <row r="987" spans="7:8">
      <c r="G987" t="s">
        <v>106</v>
      </c>
      <c r="H987">
        <v>41</v>
      </c>
    </row>
    <row r="988" spans="7:8">
      <c r="G988" t="s">
        <v>108</v>
      </c>
      <c r="H988">
        <v>21</v>
      </c>
    </row>
    <row r="989" spans="7:8">
      <c r="G989" t="s">
        <v>105</v>
      </c>
      <c r="H989">
        <v>14</v>
      </c>
    </row>
    <row r="990" spans="7:8">
      <c r="G990" t="s">
        <v>106</v>
      </c>
      <c r="H990">
        <v>41</v>
      </c>
    </row>
    <row r="991" spans="7:8">
      <c r="G991" t="s">
        <v>113</v>
      </c>
      <c r="H991">
        <v>13</v>
      </c>
    </row>
    <row r="992" spans="7:8">
      <c r="G992" t="s">
        <v>116</v>
      </c>
      <c r="H992">
        <v>42</v>
      </c>
    </row>
    <row r="993" spans="7:8">
      <c r="G993" t="s">
        <v>109</v>
      </c>
      <c r="H993">
        <v>33</v>
      </c>
    </row>
    <row r="994" spans="7:8">
      <c r="G994" t="s">
        <v>104</v>
      </c>
      <c r="H994">
        <v>31</v>
      </c>
    </row>
    <row r="995" spans="7:8">
      <c r="G995" t="s">
        <v>107</v>
      </c>
      <c r="H995">
        <v>11</v>
      </c>
    </row>
    <row r="996" spans="7:8">
      <c r="G996" t="s">
        <v>104</v>
      </c>
      <c r="H996">
        <v>31</v>
      </c>
    </row>
    <row r="997" spans="7:8">
      <c r="G997" t="s">
        <v>106</v>
      </c>
      <c r="H997">
        <v>41</v>
      </c>
    </row>
    <row r="998" spans="7:8">
      <c r="G998" t="s">
        <v>106</v>
      </c>
      <c r="H998">
        <v>41</v>
      </c>
    </row>
    <row r="999" spans="7:8">
      <c r="G999" t="s">
        <v>113</v>
      </c>
      <c r="H999">
        <v>13</v>
      </c>
    </row>
    <row r="1000" spans="7:8">
      <c r="G1000" t="s">
        <v>107</v>
      </c>
      <c r="H1000">
        <v>11</v>
      </c>
    </row>
    <row r="1001" spans="7:8">
      <c r="G1001" t="s">
        <v>108</v>
      </c>
      <c r="H1001">
        <v>21</v>
      </c>
    </row>
    <row r="1002" spans="7:8">
      <c r="G1002" t="s">
        <v>108</v>
      </c>
      <c r="H1002">
        <v>21</v>
      </c>
    </row>
    <row r="1003" spans="7:8">
      <c r="G1003" t="s">
        <v>106</v>
      </c>
      <c r="H1003">
        <v>41</v>
      </c>
    </row>
    <row r="1004" spans="7:8">
      <c r="G1004" t="s">
        <v>108</v>
      </c>
      <c r="H1004">
        <v>21</v>
      </c>
    </row>
    <row r="1005" spans="7:8">
      <c r="G1005" t="s">
        <v>107</v>
      </c>
      <c r="H1005">
        <v>11</v>
      </c>
    </row>
    <row r="1006" spans="7:8">
      <c r="G1006" t="s">
        <v>108</v>
      </c>
      <c r="H1006">
        <v>21</v>
      </c>
    </row>
    <row r="1007" spans="7:8">
      <c r="G1007" t="s">
        <v>108</v>
      </c>
      <c r="H1007">
        <v>21</v>
      </c>
    </row>
    <row r="1008" spans="7:8">
      <c r="G1008" t="s">
        <v>106</v>
      </c>
      <c r="H1008">
        <v>41</v>
      </c>
    </row>
    <row r="1009" spans="7:8">
      <c r="G1009" t="s">
        <v>112</v>
      </c>
      <c r="H1009">
        <v>22</v>
      </c>
    </row>
    <row r="1010" spans="7:8">
      <c r="G1010" t="s">
        <v>117</v>
      </c>
      <c r="H1010">
        <v>12</v>
      </c>
    </row>
    <row r="1011" spans="7:8">
      <c r="G1011" t="s">
        <v>108</v>
      </c>
      <c r="H1011">
        <v>21</v>
      </c>
    </row>
    <row r="1012" spans="7:8">
      <c r="G1012" t="s">
        <v>111</v>
      </c>
      <c r="H1012">
        <v>23</v>
      </c>
    </row>
    <row r="1013" spans="7:8">
      <c r="G1013" t="s">
        <v>106</v>
      </c>
      <c r="H1013">
        <v>41</v>
      </c>
    </row>
    <row r="1014" spans="7:8">
      <c r="G1014" t="s">
        <v>110</v>
      </c>
      <c r="H1014">
        <v>43</v>
      </c>
    </row>
    <row r="1015" spans="7:8">
      <c r="G1015" t="s">
        <v>109</v>
      </c>
      <c r="H1015">
        <v>33</v>
      </c>
    </row>
    <row r="1016" spans="7:8">
      <c r="G1016" t="s">
        <v>108</v>
      </c>
      <c r="H1016">
        <v>21</v>
      </c>
    </row>
    <row r="1017" spans="7:8">
      <c r="G1017" t="s">
        <v>110</v>
      </c>
      <c r="H1017">
        <v>43</v>
      </c>
    </row>
    <row r="1018" spans="7:8">
      <c r="G1018" t="s">
        <v>108</v>
      </c>
      <c r="H1018">
        <v>21</v>
      </c>
    </row>
    <row r="1019" spans="7:8">
      <c r="G1019" t="s">
        <v>108</v>
      </c>
      <c r="H1019">
        <v>21</v>
      </c>
    </row>
    <row r="1020" spans="7:8">
      <c r="G1020" t="s">
        <v>113</v>
      </c>
      <c r="H1020">
        <v>13</v>
      </c>
    </row>
    <row r="1021" spans="7:8">
      <c r="G1021" t="s">
        <v>106</v>
      </c>
      <c r="H1021">
        <v>41</v>
      </c>
    </row>
    <row r="1022" spans="7:8">
      <c r="G1022" t="s">
        <v>107</v>
      </c>
      <c r="H1022">
        <v>11</v>
      </c>
    </row>
    <row r="1023" spans="7:8">
      <c r="G1023" t="s">
        <v>108</v>
      </c>
      <c r="H1023">
        <v>21</v>
      </c>
    </row>
    <row r="1024" spans="7:8">
      <c r="G1024" t="s">
        <v>105</v>
      </c>
      <c r="H1024">
        <v>14</v>
      </c>
    </row>
    <row r="1025" spans="7:8">
      <c r="G1025" t="s">
        <v>113</v>
      </c>
      <c r="H1025">
        <v>13</v>
      </c>
    </row>
    <row r="1026" spans="7:8">
      <c r="G1026" t="s">
        <v>108</v>
      </c>
      <c r="H1026">
        <v>21</v>
      </c>
    </row>
    <row r="1027" spans="7:8">
      <c r="G1027" t="s">
        <v>109</v>
      </c>
      <c r="H1027">
        <v>33</v>
      </c>
    </row>
    <row r="1028" spans="7:8">
      <c r="G1028" t="s">
        <v>106</v>
      </c>
      <c r="H1028">
        <v>41</v>
      </c>
    </row>
    <row r="1029" spans="7:8">
      <c r="G1029" t="s">
        <v>104</v>
      </c>
      <c r="H1029">
        <v>31</v>
      </c>
    </row>
    <row r="1030" spans="7:8">
      <c r="G1030" t="s">
        <v>107</v>
      </c>
      <c r="H1030">
        <v>11</v>
      </c>
    </row>
    <row r="1031" spans="7:8">
      <c r="G1031" t="s">
        <v>106</v>
      </c>
      <c r="H1031">
        <v>41</v>
      </c>
    </row>
    <row r="1032" spans="7:8">
      <c r="G1032" t="s">
        <v>108</v>
      </c>
      <c r="H1032">
        <v>21</v>
      </c>
    </row>
    <row r="1033" spans="7:8">
      <c r="G1033" t="s">
        <v>105</v>
      </c>
      <c r="H1033">
        <v>14</v>
      </c>
    </row>
    <row r="1034" spans="7:8">
      <c r="G1034" t="s">
        <v>106</v>
      </c>
      <c r="H1034">
        <v>41</v>
      </c>
    </row>
    <row r="1035" spans="7:8">
      <c r="G1035" t="s">
        <v>108</v>
      </c>
      <c r="H1035">
        <v>21</v>
      </c>
    </row>
    <row r="1036" spans="7:8">
      <c r="G1036" t="s">
        <v>108</v>
      </c>
      <c r="H1036">
        <v>21</v>
      </c>
    </row>
    <row r="1037" spans="7:8">
      <c r="G1037" t="s">
        <v>107</v>
      </c>
      <c r="H1037">
        <v>11</v>
      </c>
    </row>
    <row r="1038" spans="7:8">
      <c r="G1038" t="s">
        <v>108</v>
      </c>
      <c r="H1038">
        <v>21</v>
      </c>
    </row>
    <row r="1039" spans="7:8">
      <c r="G1039" t="s">
        <v>112</v>
      </c>
      <c r="H1039">
        <v>22</v>
      </c>
    </row>
    <row r="1040" spans="7:8">
      <c r="G1040" t="s">
        <v>106</v>
      </c>
      <c r="H1040">
        <v>41</v>
      </c>
    </row>
    <row r="1041" spans="7:8">
      <c r="G1041" t="s">
        <v>107</v>
      </c>
      <c r="H1041">
        <v>11</v>
      </c>
    </row>
    <row r="1042" spans="7:8">
      <c r="G1042" t="s">
        <v>108</v>
      </c>
      <c r="H1042">
        <v>21</v>
      </c>
    </row>
    <row r="1043" spans="7:8">
      <c r="G1043" t="s">
        <v>109</v>
      </c>
      <c r="H1043">
        <v>33</v>
      </c>
    </row>
    <row r="1044" spans="7:8">
      <c r="G1044" t="s">
        <v>110</v>
      </c>
      <c r="H1044">
        <v>43</v>
      </c>
    </row>
    <row r="1045" spans="7:8">
      <c r="G1045" t="s">
        <v>108</v>
      </c>
      <c r="H1045">
        <v>21</v>
      </c>
    </row>
    <row r="1046" spans="7:8">
      <c r="G1046" t="s">
        <v>108</v>
      </c>
      <c r="H1046">
        <v>21</v>
      </c>
    </row>
    <row r="1047" spans="7:8">
      <c r="G1047" t="s">
        <v>112</v>
      </c>
      <c r="H1047">
        <v>22</v>
      </c>
    </row>
    <row r="1048" spans="7:8">
      <c r="G1048" t="s">
        <v>105</v>
      </c>
      <c r="H1048">
        <v>14</v>
      </c>
    </row>
    <row r="1049" spans="7:8">
      <c r="G1049" t="s">
        <v>106</v>
      </c>
      <c r="H1049">
        <v>41</v>
      </c>
    </row>
    <row r="1050" spans="7:8">
      <c r="G1050" t="s">
        <v>111</v>
      </c>
      <c r="H1050">
        <v>23</v>
      </c>
    </row>
    <row r="1051" spans="7:8">
      <c r="G1051" t="s">
        <v>105</v>
      </c>
      <c r="H1051">
        <v>14</v>
      </c>
    </row>
    <row r="1052" spans="7:8">
      <c r="G1052" t="s">
        <v>110</v>
      </c>
      <c r="H1052">
        <v>43</v>
      </c>
    </row>
    <row r="1053" spans="7:8">
      <c r="G1053" t="s">
        <v>110</v>
      </c>
      <c r="H1053">
        <v>43</v>
      </c>
    </row>
    <row r="1054" spans="7:8">
      <c r="G1054" t="s">
        <v>109</v>
      </c>
      <c r="H1054">
        <v>33</v>
      </c>
    </row>
    <row r="1055" spans="7:8">
      <c r="G1055" t="s">
        <v>105</v>
      </c>
      <c r="H1055">
        <v>14</v>
      </c>
    </row>
    <row r="1056" spans="7:8">
      <c r="G1056" t="s">
        <v>108</v>
      </c>
      <c r="H1056">
        <v>21</v>
      </c>
    </row>
    <row r="1057" spans="7:8">
      <c r="G1057" t="s">
        <v>105</v>
      </c>
      <c r="H1057">
        <v>14</v>
      </c>
    </row>
    <row r="1058" spans="7:8">
      <c r="G1058" t="s">
        <v>108</v>
      </c>
      <c r="H1058">
        <v>21</v>
      </c>
    </row>
    <row r="1059" spans="7:8">
      <c r="G1059" t="s">
        <v>110</v>
      </c>
      <c r="H1059">
        <v>43</v>
      </c>
    </row>
    <row r="1060" spans="7:8">
      <c r="G1060" t="s">
        <v>108</v>
      </c>
      <c r="H1060">
        <v>21</v>
      </c>
    </row>
    <row r="1061" spans="7:8">
      <c r="G1061" t="s">
        <v>113</v>
      </c>
      <c r="H1061">
        <v>13</v>
      </c>
    </row>
    <row r="1062" spans="7:8">
      <c r="G1062" t="s">
        <v>108</v>
      </c>
      <c r="H1062">
        <v>21</v>
      </c>
    </row>
    <row r="1063" spans="7:8">
      <c r="G1063" t="s">
        <v>108</v>
      </c>
      <c r="H1063">
        <v>21</v>
      </c>
    </row>
    <row r="1064" spans="7:8">
      <c r="G1064" t="s">
        <v>105</v>
      </c>
      <c r="H1064">
        <v>14</v>
      </c>
    </row>
    <row r="1065" spans="7:8">
      <c r="G1065" t="s">
        <v>108</v>
      </c>
      <c r="H1065">
        <v>21</v>
      </c>
    </row>
    <row r="1066" spans="7:8">
      <c r="G1066" t="s">
        <v>110</v>
      </c>
      <c r="H1066">
        <v>43</v>
      </c>
    </row>
    <row r="1067" spans="7:8">
      <c r="G1067" t="s">
        <v>111</v>
      </c>
      <c r="H1067">
        <v>23</v>
      </c>
    </row>
    <row r="1068" spans="7:8">
      <c r="G1068" t="s">
        <v>112</v>
      </c>
      <c r="H1068">
        <v>22</v>
      </c>
    </row>
    <row r="1069" spans="7:8">
      <c r="G1069" t="s">
        <v>108</v>
      </c>
      <c r="H1069">
        <v>21</v>
      </c>
    </row>
    <row r="1070" spans="7:8">
      <c r="G1070" t="s">
        <v>113</v>
      </c>
      <c r="H1070">
        <v>13</v>
      </c>
    </row>
    <row r="1071" spans="7:8">
      <c r="G1071" t="s">
        <v>111</v>
      </c>
      <c r="H1071">
        <v>23</v>
      </c>
    </row>
    <row r="1072" spans="7:8">
      <c r="G1072" t="s">
        <v>111</v>
      </c>
      <c r="H1072">
        <v>23</v>
      </c>
    </row>
    <row r="1073" spans="7:8">
      <c r="G1073" t="s">
        <v>107</v>
      </c>
      <c r="H1073">
        <v>11</v>
      </c>
    </row>
    <row r="1074" spans="7:8">
      <c r="G1074" t="s">
        <v>115</v>
      </c>
      <c r="H1074">
        <v>24</v>
      </c>
    </row>
    <row r="1075" spans="7:8">
      <c r="G1075" t="s">
        <v>108</v>
      </c>
      <c r="H1075">
        <v>21</v>
      </c>
    </row>
    <row r="1076" spans="7:8">
      <c r="G1076" t="s">
        <v>113</v>
      </c>
      <c r="H1076">
        <v>13</v>
      </c>
    </row>
    <row r="1077" spans="7:8">
      <c r="G1077" t="s">
        <v>107</v>
      </c>
      <c r="H1077">
        <v>11</v>
      </c>
    </row>
    <row r="1078" spans="7:8">
      <c r="G1078" t="s">
        <v>108</v>
      </c>
      <c r="H1078">
        <v>21</v>
      </c>
    </row>
    <row r="1079" spans="7:8">
      <c r="G1079" t="s">
        <v>105</v>
      </c>
      <c r="H1079">
        <v>14</v>
      </c>
    </row>
    <row r="1080" spans="7:8">
      <c r="G1080" t="s">
        <v>104</v>
      </c>
      <c r="H1080">
        <v>31</v>
      </c>
    </row>
    <row r="1081" spans="7:8">
      <c r="G1081" t="s">
        <v>109</v>
      </c>
      <c r="H1081">
        <v>33</v>
      </c>
    </row>
    <row r="1082" spans="7:8">
      <c r="G1082" t="s">
        <v>108</v>
      </c>
      <c r="H1082">
        <v>21</v>
      </c>
    </row>
    <row r="1083" spans="7:8">
      <c r="G1083" t="s">
        <v>107</v>
      </c>
      <c r="H1083">
        <v>11</v>
      </c>
    </row>
    <row r="1084" spans="7:8">
      <c r="G1084" t="s">
        <v>107</v>
      </c>
      <c r="H1084">
        <v>11</v>
      </c>
    </row>
    <row r="1085" spans="7:8">
      <c r="G1085" t="s">
        <v>108</v>
      </c>
      <c r="H1085">
        <v>21</v>
      </c>
    </row>
    <row r="1086" spans="7:8">
      <c r="G1086" t="s">
        <v>113</v>
      </c>
      <c r="H1086">
        <v>13</v>
      </c>
    </row>
    <row r="1087" spans="7:8">
      <c r="G1087" t="s">
        <v>108</v>
      </c>
      <c r="H1087">
        <v>21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G1:G1087" etc:filterBottomFollowUsedRange="1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"/>
    </sheetView>
  </sheetViews>
  <sheetFormatPr defaultColWidth="9" defaultRowHeight="13.5" outlineLevelCol="1"/>
  <sheetData>
    <row r="1" spans="1:2">
      <c r="A1" t="s">
        <v>118</v>
      </c>
      <c r="B1" t="s">
        <v>119</v>
      </c>
    </row>
    <row r="2" spans="1:2">
      <c r="A2" t="s">
        <v>120</v>
      </c>
      <c r="B2">
        <v>3</v>
      </c>
    </row>
    <row r="3" spans="1:2">
      <c r="A3" t="s">
        <v>108</v>
      </c>
      <c r="B3">
        <v>196</v>
      </c>
    </row>
    <row r="4" spans="1:2">
      <c r="A4" t="s">
        <v>114</v>
      </c>
      <c r="B4">
        <v>18</v>
      </c>
    </row>
    <row r="5" spans="1:2">
      <c r="A5" t="s">
        <v>115</v>
      </c>
      <c r="B5">
        <v>2</v>
      </c>
    </row>
    <row r="6" spans="1:2">
      <c r="A6" t="s">
        <v>113</v>
      </c>
      <c r="B6">
        <v>61</v>
      </c>
    </row>
    <row r="7" spans="1:2">
      <c r="A7" t="s">
        <v>107</v>
      </c>
      <c r="B7">
        <v>207</v>
      </c>
    </row>
    <row r="8" spans="1:2">
      <c r="A8" t="s">
        <v>106</v>
      </c>
      <c r="B8">
        <v>194</v>
      </c>
    </row>
    <row r="9" spans="1:2">
      <c r="A9" t="s">
        <v>109</v>
      </c>
      <c r="B9">
        <v>62</v>
      </c>
    </row>
    <row r="10" spans="1:2">
      <c r="A10" t="s">
        <v>112</v>
      </c>
      <c r="B10">
        <v>31</v>
      </c>
    </row>
    <row r="11" spans="1:2">
      <c r="A11" t="s">
        <v>117</v>
      </c>
      <c r="B11">
        <v>4</v>
      </c>
    </row>
    <row r="12" spans="1:2">
      <c r="A12" t="s">
        <v>105</v>
      </c>
      <c r="B12">
        <v>89</v>
      </c>
    </row>
    <row r="13" spans="1:2">
      <c r="A13" t="s">
        <v>116</v>
      </c>
      <c r="B13">
        <v>11</v>
      </c>
    </row>
    <row r="14" spans="1:2">
      <c r="A14" t="s">
        <v>111</v>
      </c>
      <c r="B14">
        <v>33</v>
      </c>
    </row>
    <row r="15" spans="1:2">
      <c r="A15" t="s">
        <v>104</v>
      </c>
      <c r="B15">
        <v>61</v>
      </c>
    </row>
    <row r="16" spans="1:2">
      <c r="A16" t="s">
        <v>110</v>
      </c>
      <c r="B16">
        <v>114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8"/>
  <sheetViews>
    <sheetView topLeftCell="U24" workbookViewId="0">
      <selection activeCell="H39" sqref="H39:U51"/>
    </sheetView>
  </sheetViews>
  <sheetFormatPr defaultColWidth="9" defaultRowHeight="13.5"/>
  <cols>
    <col min="3" max="3" width="15.75" customWidth="1"/>
    <col min="7" max="7" width="10.875" customWidth="1"/>
    <col min="8" max="8" width="27.75" customWidth="1"/>
    <col min="10" max="10" width="15.125" customWidth="1"/>
    <col min="12" max="12" width="12.875" customWidth="1"/>
    <col min="13" max="13" width="14.75" customWidth="1"/>
    <col min="15" max="15" width="17.875" customWidth="1"/>
    <col min="16" max="16" width="18.25" customWidth="1"/>
    <col min="17" max="18" width="12.625"/>
    <col min="19" max="19" width="14.75" customWidth="1"/>
    <col min="20" max="20" width="12.625"/>
    <col min="21" max="21" width="9.25"/>
  </cols>
  <sheetData>
    <row r="1" spans="1:20">
      <c r="B1" s="1" t="s">
        <v>121</v>
      </c>
      <c r="C1" s="2" t="s">
        <v>122</v>
      </c>
      <c r="D1" s="3" t="s">
        <v>123</v>
      </c>
      <c r="E1" s="4" t="s">
        <v>124</v>
      </c>
      <c r="F1" s="5" t="s">
        <v>125</v>
      </c>
      <c r="H1" s="5" t="s">
        <v>126</v>
      </c>
      <c r="I1" s="6">
        <v>1</v>
      </c>
      <c r="J1">
        <v>100</v>
      </c>
    </row>
    <row r="2" spans="1:20">
      <c r="A2" s="5" t="s">
        <v>127</v>
      </c>
      <c r="B2" s="7">
        <v>440</v>
      </c>
      <c r="C2" s="4" t="s">
        <v>128</v>
      </c>
      <c r="D2" s="8">
        <f t="shared" ref="D2:D9" si="0">E2*100</f>
        <v>75</v>
      </c>
      <c r="E2" s="6">
        <v>0.75</v>
      </c>
    </row>
    <row r="3" spans="1:20">
      <c r="A3" s="5" t="s">
        <v>127</v>
      </c>
      <c r="B3" s="7">
        <v>740052</v>
      </c>
      <c r="C3" s="4" t="s">
        <v>129</v>
      </c>
      <c r="D3" s="8">
        <f t="shared" si="0"/>
        <v>15</v>
      </c>
      <c r="E3" s="6">
        <v>0.15</v>
      </c>
    </row>
    <row r="4" spans="1:20">
      <c r="A4" s="5" t="s">
        <v>127</v>
      </c>
      <c r="B4" s="7">
        <v>740053</v>
      </c>
      <c r="C4" s="4" t="s">
        <v>130</v>
      </c>
      <c r="D4" s="8">
        <f t="shared" si="0"/>
        <v>15</v>
      </c>
      <c r="E4" s="6">
        <v>0.15</v>
      </c>
    </row>
    <row r="5" spans="1:20">
      <c r="A5" s="5" t="s">
        <v>127</v>
      </c>
      <c r="B5" s="7">
        <v>740056</v>
      </c>
      <c r="C5" s="4" t="s">
        <v>131</v>
      </c>
      <c r="D5" s="8">
        <f t="shared" si="0"/>
        <v>200</v>
      </c>
      <c r="E5" s="6">
        <v>2</v>
      </c>
      <c r="H5" s="5"/>
    </row>
    <row r="6" spans="1:20">
      <c r="A6" s="5" t="s">
        <v>127</v>
      </c>
      <c r="B6" s="7">
        <v>1558</v>
      </c>
      <c r="C6" s="9" t="s">
        <v>132</v>
      </c>
      <c r="D6" s="8">
        <f t="shared" si="0"/>
        <v>1</v>
      </c>
      <c r="E6" s="6">
        <v>0.01</v>
      </c>
      <c r="H6" s="10" t="s">
        <v>133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spans="1:20">
      <c r="A7" s="5" t="s">
        <v>127</v>
      </c>
      <c r="B7" s="7">
        <v>31175</v>
      </c>
      <c r="C7" s="9" t="s">
        <v>134</v>
      </c>
      <c r="D7" s="8">
        <f t="shared" si="0"/>
        <v>6</v>
      </c>
      <c r="E7" s="6">
        <v>0.06</v>
      </c>
      <c r="H7" s="10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ht="14.25" spans="1:20">
      <c r="A8" s="5" t="s">
        <v>127</v>
      </c>
      <c r="B8" s="7">
        <v>31100</v>
      </c>
      <c r="C8" s="4" t="s">
        <v>135</v>
      </c>
      <c r="D8" s="8">
        <f t="shared" si="0"/>
        <v>200</v>
      </c>
      <c r="E8" s="6">
        <v>2</v>
      </c>
      <c r="H8" s="12" t="s">
        <v>136</v>
      </c>
      <c r="I8" s="11"/>
      <c r="J8" s="13"/>
      <c r="K8" s="13"/>
      <c r="L8" s="13"/>
      <c r="M8" s="13"/>
      <c r="N8" s="14"/>
      <c r="O8" s="11"/>
      <c r="P8" s="11"/>
      <c r="Q8" s="11"/>
      <c r="R8" s="11"/>
      <c r="S8" s="11"/>
    </row>
    <row r="9" ht="14.25" spans="1:20">
      <c r="A9" s="5" t="s">
        <v>127</v>
      </c>
      <c r="B9" s="7">
        <v>31105</v>
      </c>
      <c r="C9" s="9" t="s">
        <v>137</v>
      </c>
      <c r="D9" s="8">
        <f t="shared" si="0"/>
        <v>30</v>
      </c>
      <c r="E9" s="6">
        <v>0.3</v>
      </c>
      <c r="H9" s="12" t="s">
        <v>138</v>
      </c>
      <c r="I9" s="12" t="s">
        <v>51</v>
      </c>
      <c r="J9" s="12" t="s">
        <v>139</v>
      </c>
      <c r="K9" s="12" t="s">
        <v>140</v>
      </c>
      <c r="L9" s="12" t="s">
        <v>52</v>
      </c>
      <c r="M9" s="12" t="s">
        <v>141</v>
      </c>
      <c r="N9" s="15" t="s">
        <v>142</v>
      </c>
      <c r="O9" s="10" t="s">
        <v>143</v>
      </c>
      <c r="P9" s="10" t="s">
        <v>144</v>
      </c>
      <c r="Q9" s="10" t="s">
        <v>145</v>
      </c>
      <c r="R9" s="10" t="s">
        <v>146</v>
      </c>
      <c r="S9" s="10" t="s">
        <v>101</v>
      </c>
    </row>
    <row r="10" ht="14.25" spans="1:20">
      <c r="A10" s="5" t="s">
        <v>127</v>
      </c>
      <c r="B10" s="7">
        <v>20264</v>
      </c>
      <c r="C10" s="9" t="s">
        <v>147</v>
      </c>
      <c r="D10" s="8">
        <v>2800</v>
      </c>
      <c r="E10" s="6">
        <v>28</v>
      </c>
      <c r="F10">
        <v>1</v>
      </c>
      <c r="H10" s="13"/>
      <c r="I10" s="16"/>
      <c r="J10" s="13"/>
      <c r="K10" s="13"/>
      <c r="L10" s="13"/>
      <c r="M10" s="13"/>
      <c r="N10" s="14"/>
      <c r="O10" s="11"/>
      <c r="P10" s="11"/>
      <c r="Q10" s="11"/>
      <c r="R10" s="11"/>
      <c r="S10" s="11"/>
    </row>
    <row r="11" ht="14.25" spans="1:20">
      <c r="A11" s="5" t="s">
        <v>127</v>
      </c>
      <c r="B11" s="7">
        <v>750004</v>
      </c>
      <c r="C11" s="4" t="s">
        <v>148</v>
      </c>
      <c r="D11" s="8">
        <f>E11*100</f>
        <v>100</v>
      </c>
      <c r="E11" s="6">
        <v>1</v>
      </c>
      <c r="H11" s="13" t="s">
        <v>13</v>
      </c>
      <c r="I11" s="16">
        <v>0.2</v>
      </c>
      <c r="J11" s="13">
        <v>1</v>
      </c>
      <c r="K11" s="13">
        <v>1</v>
      </c>
      <c r="L11" s="13">
        <f>I11*J11*K11</f>
        <v>0.2</v>
      </c>
      <c r="M11" s="13">
        <f>L11*12</f>
        <v>2.4</v>
      </c>
      <c r="N11" s="14">
        <f>M11*4</f>
        <v>9.6</v>
      </c>
      <c r="O11" s="11"/>
      <c r="P11" s="11">
        <f>E$14/S11</f>
        <v>5208.33333333333</v>
      </c>
      <c r="Q11" s="11">
        <f>P11/4</f>
        <v>1302.08333333333</v>
      </c>
      <c r="R11" s="11">
        <f>Q11/12</f>
        <v>108.506944444444</v>
      </c>
      <c r="S11" s="17">
        <f>N11/J$1</f>
        <v>0.096</v>
      </c>
    </row>
    <row r="12" ht="14.25" spans="1:20">
      <c r="A12" s="5" t="s">
        <v>127</v>
      </c>
      <c r="B12" s="7">
        <v>750005</v>
      </c>
      <c r="C12" s="4" t="s">
        <v>149</v>
      </c>
      <c r="D12" s="8">
        <f>E12*100</f>
        <v>1000</v>
      </c>
      <c r="E12" s="6">
        <v>10</v>
      </c>
      <c r="H12" s="13" t="s">
        <v>56</v>
      </c>
      <c r="I12" s="16">
        <v>0.3</v>
      </c>
      <c r="J12" s="13">
        <v>2</v>
      </c>
      <c r="K12" s="13">
        <v>5</v>
      </c>
      <c r="L12" s="13">
        <f>I12*J12*K12</f>
        <v>3</v>
      </c>
      <c r="M12" s="13">
        <f>L12*12</f>
        <v>36</v>
      </c>
      <c r="N12" s="14">
        <f>M12*4</f>
        <v>144</v>
      </c>
      <c r="O12" s="11">
        <f>N12/N11</f>
        <v>15</v>
      </c>
      <c r="P12" s="11">
        <f>E$14/S12</f>
        <v>347.222222222222</v>
      </c>
      <c r="Q12" s="11">
        <f>P12/4</f>
        <v>86.8055555555556</v>
      </c>
      <c r="R12" s="11">
        <f>Q12/12</f>
        <v>7.2337962962963</v>
      </c>
      <c r="S12" s="17">
        <f>N12/J$1</f>
        <v>1.44</v>
      </c>
      <c r="T12">
        <f>1000*L12</f>
        <v>3000</v>
      </c>
    </row>
    <row r="13" ht="14.25" spans="1:20">
      <c r="A13" s="5" t="s">
        <v>127</v>
      </c>
      <c r="B13" s="7">
        <v>750006</v>
      </c>
      <c r="C13" s="4" t="s">
        <v>150</v>
      </c>
      <c r="D13" s="8">
        <f>E13*100</f>
        <v>5000</v>
      </c>
      <c r="E13" s="6">
        <v>50</v>
      </c>
      <c r="H13" s="13" t="s">
        <v>27</v>
      </c>
      <c r="I13" s="16">
        <v>0.9</v>
      </c>
      <c r="J13" s="13">
        <v>3</v>
      </c>
      <c r="K13" s="13">
        <v>20</v>
      </c>
      <c r="L13" s="13">
        <f>I13*J13*K13</f>
        <v>54</v>
      </c>
      <c r="M13" s="13">
        <f>L13*12</f>
        <v>648</v>
      </c>
      <c r="N13" s="14">
        <f>M13*4</f>
        <v>2592</v>
      </c>
      <c r="O13" s="11">
        <f>N13/N12</f>
        <v>18</v>
      </c>
      <c r="P13" s="11">
        <f>E$14/S13</f>
        <v>19.2901234567901</v>
      </c>
      <c r="Q13" s="11">
        <f>P13/4</f>
        <v>4.82253086419753</v>
      </c>
      <c r="R13" s="11">
        <f>Q13/12</f>
        <v>0.401877572016461</v>
      </c>
      <c r="S13" s="17">
        <f>N13/J$1</f>
        <v>25.92</v>
      </c>
    </row>
    <row r="14" spans="1:20">
      <c r="A14" s="18" t="s">
        <v>151</v>
      </c>
      <c r="B14" s="19">
        <v>20413</v>
      </c>
      <c r="C14" s="5" t="s">
        <v>152</v>
      </c>
      <c r="D14" s="8">
        <f>E14*100</f>
        <v>50000</v>
      </c>
      <c r="E14" s="6">
        <v>500</v>
      </c>
      <c r="F14">
        <v>1</v>
      </c>
      <c r="N14">
        <f>N11/4</f>
        <v>2.4</v>
      </c>
    </row>
    <row r="15" spans="1:20">
      <c r="N15">
        <f>N12/4</f>
        <v>36</v>
      </c>
    </row>
    <row r="16" spans="1:20">
      <c r="N16">
        <f>N13/4</f>
        <v>648</v>
      </c>
    </row>
    <row r="36" spans="8:21">
      <c r="U36" s="20"/>
    </row>
    <row r="38" spans="8:21">
      <c r="J38" s="5"/>
    </row>
    <row r="39" ht="14.25" spans="8:21">
      <c r="J39" s="5" t="s">
        <v>153</v>
      </c>
      <c r="K39" s="5" t="s">
        <v>50</v>
      </c>
      <c r="L39" s="5" t="s">
        <v>4</v>
      </c>
      <c r="M39" s="21" t="s">
        <v>51</v>
      </c>
      <c r="N39" s="21" t="s">
        <v>139</v>
      </c>
      <c r="O39" s="21" t="s">
        <v>140</v>
      </c>
      <c r="P39" s="21" t="s">
        <v>52</v>
      </c>
      <c r="Q39" s="21" t="s">
        <v>81</v>
      </c>
      <c r="R39" s="22" t="s">
        <v>142</v>
      </c>
      <c r="S39" s="5" t="s">
        <v>143</v>
      </c>
      <c r="T39" s="5" t="s">
        <v>144</v>
      </c>
      <c r="U39" s="5" t="s">
        <v>154</v>
      </c>
    </row>
    <row r="40" ht="14.25" spans="8:21">
      <c r="H40" t="s">
        <v>13</v>
      </c>
      <c r="I40" s="5" t="s">
        <v>14</v>
      </c>
      <c r="J40">
        <v>10000000</v>
      </c>
      <c r="K40">
        <f t="shared" ref="K40:K51" si="1">L40/J40</f>
        <v>100</v>
      </c>
      <c r="L40" s="23">
        <v>1000000000</v>
      </c>
      <c r="M40" s="24">
        <v>0.1</v>
      </c>
      <c r="N40" s="25">
        <v>1</v>
      </c>
      <c r="O40" s="25">
        <v>1</v>
      </c>
      <c r="P40" s="25">
        <f t="shared" ref="P40:P43" si="2">M40*N40*O40</f>
        <v>0.1</v>
      </c>
      <c r="Q40" s="25">
        <f t="shared" ref="Q40:Q43" si="3">P40*10</f>
        <v>1</v>
      </c>
      <c r="R40" s="26">
        <f>SUM(Q40:Q43)</f>
        <v>10</v>
      </c>
      <c r="S40" s="26"/>
      <c r="T40" s="27">
        <f>R40/100</f>
        <v>0.1</v>
      </c>
      <c r="U40" s="27">
        <f>R40/100*16</f>
        <v>1.6</v>
      </c>
    </row>
    <row r="41" ht="14.25" spans="8:21">
      <c r="H41" t="s">
        <v>13</v>
      </c>
      <c r="I41" s="5" t="s">
        <v>18</v>
      </c>
      <c r="J41">
        <v>10000000</v>
      </c>
      <c r="K41">
        <f t="shared" si="1"/>
        <v>250</v>
      </c>
      <c r="L41" s="23">
        <v>2500000000</v>
      </c>
      <c r="M41" s="24">
        <v>0.1</v>
      </c>
      <c r="N41" s="25">
        <v>1</v>
      </c>
      <c r="O41" s="25">
        <v>2</v>
      </c>
      <c r="P41" s="25">
        <f t="shared" si="2"/>
        <v>0.2</v>
      </c>
      <c r="Q41" s="25">
        <f t="shared" si="3"/>
        <v>2</v>
      </c>
      <c r="R41" s="26"/>
      <c r="S41" s="26"/>
      <c r="T41" s="27"/>
      <c r="U41" s="27"/>
    </row>
    <row r="42" ht="14.25" spans="8:21">
      <c r="H42" t="s">
        <v>13</v>
      </c>
      <c r="I42" s="5" t="s">
        <v>20</v>
      </c>
      <c r="J42">
        <v>10000000</v>
      </c>
      <c r="K42">
        <f t="shared" si="1"/>
        <v>500</v>
      </c>
      <c r="L42" s="23">
        <v>5000000000</v>
      </c>
      <c r="M42" s="24">
        <v>0.1</v>
      </c>
      <c r="N42" s="25">
        <v>1</v>
      </c>
      <c r="O42" s="25">
        <v>3</v>
      </c>
      <c r="P42" s="25">
        <f t="shared" si="2"/>
        <v>0.3</v>
      </c>
      <c r="Q42" s="25">
        <f t="shared" si="3"/>
        <v>3</v>
      </c>
      <c r="R42" s="26"/>
      <c r="S42" s="26"/>
      <c r="T42" s="27"/>
      <c r="U42" s="27"/>
    </row>
    <row r="43" ht="14.25" spans="8:21">
      <c r="H43" t="s">
        <v>13</v>
      </c>
      <c r="I43" t="s">
        <v>22</v>
      </c>
      <c r="J43">
        <v>10000000</v>
      </c>
      <c r="K43">
        <f t="shared" si="1"/>
        <v>750</v>
      </c>
      <c r="L43" s="23">
        <v>7500000000</v>
      </c>
      <c r="M43" s="24">
        <v>0.1</v>
      </c>
      <c r="N43" s="25">
        <v>1</v>
      </c>
      <c r="O43" s="25">
        <v>4</v>
      </c>
      <c r="P43" s="25">
        <f t="shared" si="2"/>
        <v>0.4</v>
      </c>
      <c r="Q43" s="25">
        <f t="shared" si="3"/>
        <v>4</v>
      </c>
      <c r="R43" s="26"/>
      <c r="S43" s="26"/>
      <c r="T43" s="27"/>
      <c r="U43" s="27"/>
    </row>
    <row r="44" ht="14.25" spans="8:21">
      <c r="H44" t="s">
        <v>24</v>
      </c>
      <c r="I44" s="5" t="s">
        <v>14</v>
      </c>
      <c r="J44">
        <v>10000000</v>
      </c>
      <c r="K44">
        <f t="shared" si="1"/>
        <v>1000</v>
      </c>
      <c r="L44" s="23">
        <f t="shared" ref="L44:L51" si="4">L40*10</f>
        <v>10000000000</v>
      </c>
      <c r="M44" s="24">
        <v>0.3</v>
      </c>
      <c r="N44" s="25">
        <v>2</v>
      </c>
      <c r="O44" s="25">
        <v>5</v>
      </c>
      <c r="P44" s="25">
        <f t="shared" ref="P44:P51" si="5">M44*N44*O44</f>
        <v>3</v>
      </c>
      <c r="Q44" s="25">
        <f t="shared" ref="Q44:Q51" si="6">P44*10</f>
        <v>30</v>
      </c>
      <c r="R44" s="26">
        <f>SUM(Q44:Q47)</f>
        <v>156</v>
      </c>
      <c r="S44" s="28">
        <f>R44/R40</f>
        <v>15.6</v>
      </c>
      <c r="T44" s="27">
        <f>R44/100</f>
        <v>1.56</v>
      </c>
      <c r="U44" s="27">
        <f>R44/100*16</f>
        <v>24.96</v>
      </c>
    </row>
    <row r="45" ht="14.25" spans="8:21">
      <c r="H45" t="s">
        <v>24</v>
      </c>
      <c r="I45" s="5" t="s">
        <v>18</v>
      </c>
      <c r="J45">
        <v>10000000</v>
      </c>
      <c r="K45">
        <f t="shared" si="1"/>
        <v>2500</v>
      </c>
      <c r="L45" s="23">
        <f t="shared" si="4"/>
        <v>25000000000</v>
      </c>
      <c r="M45" s="24">
        <v>0.3</v>
      </c>
      <c r="N45" s="25">
        <v>2</v>
      </c>
      <c r="O45" s="25">
        <v>6</v>
      </c>
      <c r="P45" s="25">
        <f t="shared" si="5"/>
        <v>3.6</v>
      </c>
      <c r="Q45" s="25">
        <f t="shared" si="6"/>
        <v>36</v>
      </c>
      <c r="R45" s="26"/>
      <c r="S45" s="28"/>
      <c r="T45" s="27"/>
      <c r="U45" s="27"/>
    </row>
    <row r="46" ht="14.25" spans="8:21">
      <c r="H46" t="s">
        <v>24</v>
      </c>
      <c r="I46" s="5" t="s">
        <v>20</v>
      </c>
      <c r="J46">
        <v>10000000</v>
      </c>
      <c r="K46">
        <f t="shared" si="1"/>
        <v>5000</v>
      </c>
      <c r="L46" s="23">
        <f t="shared" si="4"/>
        <v>50000000000</v>
      </c>
      <c r="M46" s="24">
        <v>0.3</v>
      </c>
      <c r="N46" s="25">
        <v>2</v>
      </c>
      <c r="O46" s="25">
        <v>7</v>
      </c>
      <c r="P46" s="25">
        <f t="shared" si="5"/>
        <v>4.2</v>
      </c>
      <c r="Q46" s="25">
        <f t="shared" si="6"/>
        <v>42</v>
      </c>
      <c r="R46" s="26"/>
      <c r="S46" s="28"/>
      <c r="T46" s="27"/>
      <c r="U46" s="27"/>
    </row>
    <row r="47" ht="14.25" spans="8:21">
      <c r="H47" t="s">
        <v>24</v>
      </c>
      <c r="I47" t="s">
        <v>22</v>
      </c>
      <c r="J47">
        <v>10000000</v>
      </c>
      <c r="K47">
        <f t="shared" si="1"/>
        <v>7500</v>
      </c>
      <c r="L47" s="23">
        <f t="shared" si="4"/>
        <v>75000000000</v>
      </c>
      <c r="M47" s="24">
        <v>0.3</v>
      </c>
      <c r="N47" s="25">
        <v>2</v>
      </c>
      <c r="O47" s="25">
        <v>8</v>
      </c>
      <c r="P47" s="25">
        <f t="shared" si="5"/>
        <v>4.8</v>
      </c>
      <c r="Q47" s="25">
        <f t="shared" si="6"/>
        <v>48</v>
      </c>
      <c r="R47" s="26"/>
      <c r="S47" s="28"/>
      <c r="T47" s="27"/>
      <c r="U47" s="27"/>
    </row>
    <row r="48" ht="14.25" spans="8:21">
      <c r="H48" t="s">
        <v>27</v>
      </c>
      <c r="I48" s="5" t="s">
        <v>14</v>
      </c>
      <c r="J48">
        <v>10000000</v>
      </c>
      <c r="K48">
        <f t="shared" si="1"/>
        <v>10000</v>
      </c>
      <c r="L48" s="23">
        <f t="shared" si="4"/>
        <v>100000000000</v>
      </c>
      <c r="M48" s="24">
        <v>0.9</v>
      </c>
      <c r="N48" s="25">
        <v>3</v>
      </c>
      <c r="O48" s="25">
        <v>16</v>
      </c>
      <c r="P48" s="25">
        <f t="shared" si="5"/>
        <v>43.2</v>
      </c>
      <c r="Q48" s="25">
        <f t="shared" si="6"/>
        <v>432</v>
      </c>
      <c r="R48" s="26">
        <f>SUM(Q48:Q51)</f>
        <v>2673</v>
      </c>
      <c r="S48" s="28">
        <f>R48/R44</f>
        <v>17.1346153846154</v>
      </c>
      <c r="T48" s="27">
        <f>R48/100</f>
        <v>26.73</v>
      </c>
      <c r="U48" s="27">
        <f>R48/100*16</f>
        <v>427.68</v>
      </c>
    </row>
    <row r="49" ht="14.25" spans="8:21">
      <c r="H49" t="s">
        <v>27</v>
      </c>
      <c r="I49" s="5" t="s">
        <v>18</v>
      </c>
      <c r="J49">
        <v>10000000</v>
      </c>
      <c r="K49">
        <f t="shared" si="1"/>
        <v>25000</v>
      </c>
      <c r="L49" s="23">
        <f t="shared" si="4"/>
        <v>250000000000</v>
      </c>
      <c r="M49" s="24">
        <v>0.9</v>
      </c>
      <c r="N49" s="25">
        <v>3</v>
      </c>
      <c r="O49" s="25">
        <v>22</v>
      </c>
      <c r="P49" s="25">
        <f t="shared" si="5"/>
        <v>59.4</v>
      </c>
      <c r="Q49" s="25">
        <f t="shared" si="6"/>
        <v>594</v>
      </c>
      <c r="R49" s="26"/>
      <c r="S49" s="28"/>
      <c r="T49" s="27"/>
      <c r="U49" s="27"/>
    </row>
    <row r="50" ht="14.25" spans="8:21">
      <c r="H50" t="s">
        <v>27</v>
      </c>
      <c r="I50" s="5" t="s">
        <v>20</v>
      </c>
      <c r="J50">
        <v>10000000</v>
      </c>
      <c r="K50">
        <f t="shared" si="1"/>
        <v>50000</v>
      </c>
      <c r="L50" s="23">
        <f t="shared" si="4"/>
        <v>500000000000</v>
      </c>
      <c r="M50" s="24">
        <v>0.9</v>
      </c>
      <c r="N50" s="25">
        <v>3</v>
      </c>
      <c r="O50" s="25">
        <v>27</v>
      </c>
      <c r="P50" s="25">
        <f t="shared" si="5"/>
        <v>72.9</v>
      </c>
      <c r="Q50" s="25">
        <f t="shared" si="6"/>
        <v>729</v>
      </c>
      <c r="R50" s="26"/>
      <c r="S50" s="28"/>
      <c r="T50" s="27"/>
      <c r="U50" s="27"/>
    </row>
    <row r="51" ht="14.25" spans="8:21">
      <c r="H51" t="s">
        <v>27</v>
      </c>
      <c r="I51" t="s">
        <v>22</v>
      </c>
      <c r="J51">
        <v>10000000</v>
      </c>
      <c r="K51">
        <f t="shared" si="1"/>
        <v>75000</v>
      </c>
      <c r="L51" s="23">
        <f t="shared" si="4"/>
        <v>750000000000</v>
      </c>
      <c r="M51" s="24">
        <v>0.9</v>
      </c>
      <c r="N51" s="25">
        <v>3</v>
      </c>
      <c r="O51" s="25">
        <v>34</v>
      </c>
      <c r="P51" s="25">
        <f t="shared" si="5"/>
        <v>91.8</v>
      </c>
      <c r="Q51" s="25">
        <f t="shared" si="6"/>
        <v>918</v>
      </c>
      <c r="R51" s="26"/>
      <c r="S51" s="28"/>
      <c r="T51" s="27"/>
      <c r="U51" s="27"/>
    </row>
    <row r="54" ht="14.25" spans="8:21">
      <c r="J54" s="21" t="s">
        <v>50</v>
      </c>
      <c r="K54" s="5" t="s">
        <v>51</v>
      </c>
      <c r="L54" s="5" t="s">
        <v>52</v>
      </c>
      <c r="M54" s="5" t="s">
        <v>53</v>
      </c>
      <c r="N54" s="5" t="s">
        <v>54</v>
      </c>
      <c r="O54" s="5" t="s">
        <v>55</v>
      </c>
    </row>
    <row r="55" ht="14.25" spans="8:21">
      <c r="I55" s="29"/>
      <c r="J55" s="25">
        <v>1</v>
      </c>
    </row>
    <row r="56" ht="14.25" spans="8:21">
      <c r="I56" s="29" t="s">
        <v>13</v>
      </c>
      <c r="J56" s="25">
        <v>1</v>
      </c>
      <c r="K56" s="30">
        <v>1</v>
      </c>
      <c r="L56">
        <f t="shared" ref="L56:L58" si="7">J56*K56</f>
        <v>1</v>
      </c>
      <c r="M56">
        <f t="shared" ref="M56:M58" si="8">L56*10</f>
        <v>10</v>
      </c>
      <c r="N56">
        <f t="shared" ref="N56:N58" si="9">M56*4</f>
        <v>40</v>
      </c>
      <c r="O56">
        <f t="shared" ref="O56:O58" si="10">N56*3</f>
        <v>120</v>
      </c>
      <c r="P56" s="31" t="s">
        <v>15</v>
      </c>
      <c r="R56" s="31"/>
    </row>
    <row r="57" ht="14.25" spans="8:21">
      <c r="I57" s="29" t="s">
        <v>56</v>
      </c>
      <c r="J57" s="25">
        <v>2</v>
      </c>
      <c r="K57" s="30">
        <v>0.75</v>
      </c>
      <c r="L57">
        <f t="shared" si="7"/>
        <v>1.5</v>
      </c>
      <c r="M57">
        <f t="shared" si="8"/>
        <v>15</v>
      </c>
      <c r="N57">
        <f t="shared" si="9"/>
        <v>60</v>
      </c>
      <c r="O57">
        <f t="shared" si="10"/>
        <v>180</v>
      </c>
      <c r="P57" s="31" t="s">
        <v>25</v>
      </c>
      <c r="R57" s="31"/>
    </row>
    <row r="58" ht="14.25" spans="8:21">
      <c r="I58" s="29" t="s">
        <v>27</v>
      </c>
      <c r="J58" s="25">
        <v>3</v>
      </c>
      <c r="K58" s="30">
        <v>0.67</v>
      </c>
      <c r="L58">
        <f t="shared" si="7"/>
        <v>2.01</v>
      </c>
      <c r="M58">
        <f t="shared" si="8"/>
        <v>20.1</v>
      </c>
      <c r="N58">
        <f t="shared" si="9"/>
        <v>80.4</v>
      </c>
      <c r="O58">
        <f t="shared" si="10"/>
        <v>241.2</v>
      </c>
      <c r="P58" s="31" t="s">
        <v>28</v>
      </c>
      <c r="R58" s="31"/>
    </row>
  </sheetData>
  <sheetProtection formatCells="0" formatColumns="0" formatRows="0" insertRows="0" insertColumns="0" insertHyperlinks="0" deleteColumns="0" deleteRows="0" sort="0" autoFilter="0" pivotTables="0"/>
  <mergeCells count="12">
    <mergeCell ref="R40:R43"/>
    <mergeCell ref="R44:R47"/>
    <mergeCell ref="R48:R51"/>
    <mergeCell ref="S40:S43"/>
    <mergeCell ref="S44:S47"/>
    <mergeCell ref="S48:S51"/>
    <mergeCell ref="T40:T43"/>
    <mergeCell ref="T44:T47"/>
    <mergeCell ref="T48:T51"/>
    <mergeCell ref="U40:U43"/>
    <mergeCell ref="U44:U47"/>
    <mergeCell ref="U48:U5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</woSheetsProps>
  <woBookProps>
    <bookSettings fileId="331369206942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3"/>
  <pixelatorList sheetStid="4"/>
  <pixelatorList sheetStid="6"/>
  <pixelatorList sheetStid="7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WWO_wpscloud_20260818174123-ed9259823c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导出列表_列G</vt:lpstr>
      <vt:lpstr>代币兑换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yangm</dc:creator>
  <cp:lastModifiedBy>杨明皓</cp:lastModifiedBy>
  <dcterms:created xsi:type="dcterms:W3CDTF">2024-09-30T09:48:00Z</dcterms:created>
  <dcterms:modified xsi:type="dcterms:W3CDTF">2024-10-09T08:33:00Z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B0CD0F5BAFCA4070AE1D677D9873466C_11</vt:lpwstr>
  </property>
  <property fmtid="{D5CDD505-2E9C-101B-9397-08002B2CF9AE}" pid="3" name="KSOProductBuildVer">
    <vt:lpwstr>2052-12.9.0.28477</vt:lpwstr>
  </property>
  <property fmtid="{D5CDD505-2E9C-101B-9397-08002B2CF9AE}" pid="4" name="CalculationRule">
    <vt:i4>0</vt:i4>
  </property>
</Properties>
</file>