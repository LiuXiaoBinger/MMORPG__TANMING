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<sst xmlns="http://schemas.openxmlformats.org/spreadsheetml/2006/main" count="54" uniqueCount="49">
  <si>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银子</t>
  </si>
  <si>
    <t>银票</t>
  </si>
  <si>
    <t>银子下调倍率</t>
  </si>
  <si>
    <t>银票上升倍率</t>
  </si>
  <si>
    <t>最终获得</t>
  </si>
  <si>
    <t>修改时间</t>
  </si>
  <si>
    <t>最低倍率</t>
  </si>
  <si>
    <t>最高倍率</t>
  </si>
  <si>
    <t>平均倍率</t>
  </si>
  <si>
    <t>取值范围</t>
  </si>
  <si>
    <t>策划举例：</t>
  </si>
  <si>
    <t>公式</t>
  </si>
  <si>
    <t>策划：</t>
  </si>
  <si>
    <t>将所有怪物掉落的银子=INT(0.9)   取整    注意表格不要带小数会崩</t>
  </si>
  <si>
    <t>程序：</t>
  </si>
  <si>
    <t>拾取银子时给与100%的银票   修改为  银子x随机倍率 给与银票   倍率范围（最低-最高之间）  数值范围0.01</t>
  </si>
  <si>
    <t>#include &lt;stdio.h&gt;</t>
  </si>
  <si>
    <t>#include &lt;stdlib.h&gt;</t>
  </si>
  <si>
    <t>#include &lt;time.h&gt;</t>
  </si>
  <si>
    <t>int main() {</t>
  </si>
  <si>
    <t xml:space="preserve">    // 初始化随机数种子</t>
  </si>
  <si>
    <t xml:space="preserve">    srand(time(NULL));</t>
  </si>
  <si>
    <t xml:space="preserve">    // 生成0到18之间的随机整数</t>
  </si>
  <si>
    <t xml:space="preserve">    int random_int = rand() % 19;</t>
  </si>
  <si>
    <t xml:space="preserve">    // 计算随机浮点数</t>
  </si>
  <si>
    <t xml:space="preserve">    float random_float = 1.10 + random_int * 0.01;</t>
  </si>
  <si>
    <t xml:space="preserve">    // 输出结果</t>
  </si>
  <si>
    <t xml:space="preserve">    printf("生成的随机数是: %.2f\n", random_float);</t>
  </si>
  <si>
    <t xml:space="preserve">    return 0;</t>
  </si>
  <si>
    <t xml:space="preserve">}    </t>
  </si>
  <si>
    <t>1.铜雀台扫荡功能优化，开放多职业扫荡银票功能</t>
  </si>
  <si>
    <t>1.推恩令增加铜雀扫荡收益3倍银票</t>
  </si>
  <si>
    <t>2.铜雀台扫荡 金票每日账号一次   银票 每日全职业一次</t>
  </si>
  <si>
    <t>2.铜雀台扫荡由账号每日一次 调整为 账号下所有职业每日一次</t>
  </si>
  <si>
    <t>3.铜雀台扫荡 按扫荡角色通关层数x一千银票（推恩令效果：层数x一万银票）</t>
  </si>
  <si>
    <t>3.铜雀台扫荡由由金票调整为银票，按扫荡角色通关层数x3000银票（推恩令每层x9000银票）</t>
  </si>
  <si>
    <t>4.铜雀台扫荡消耗150行动力</t>
  </si>
  <si>
    <t>5.全部角色行动力提升至200</t>
  </si>
  <si>
    <t>6.拥有推恩令后 行动力提升至250</t>
  </si>
  <si>
    <t>7.取消其他行动力加成和次日积累上限机制</t>
  </si>
  <si>
    <t>8.铜雀台和推恩令修改tips</t>
  </si>
  <si>
    <t>8.修改tips</t>
  </si>
  <si>
    <t>注意 扫荡优化为增加银票  与扫荡金票不冲突   每日首个角色扫荡 不扣体力获得金票+银票</t>
  </si>
  <si>
    <t>推恩令</t>
  </si>
  <si>
    <t>层数</t>
  </si>
  <si>
    <t>角色数量</t>
  </si>
  <si>
    <t>日</t>
  </si>
  <si>
    <t>月</t>
  </si>
  <si>
    <t>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</si>
</sst>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417FF9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C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9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9" fontId="3" fillId="0" borderId="0" xfId="0" applyNumberFormat="1" applyFont="1">
      <alignment vertical="center"/>
    </xf>
    <xf numFmtId="9" fontId="0" fillId="0" borderId="0" xfId="0" applyNumberFormat="1">
      <alignment vertical="center"/>
    </xf>
    <xf numFmtId="176" fontId="0" fillId="0" borderId="0" xfId="0" applyNumberFormat="1" applyFill="1">
      <alignment vertical="center"/>
    </xf>
    <xf numFmtId="176" fontId="4" fillId="0" borderId="0" xfId="0" applyNumberFormat="1" applyFont="1" applyFill="1">
      <alignment vertical="center"/>
    </xf>
    <xf numFmtId="9" fontId="3" fillId="0" borderId="0" xfId="0" applyNumberFormat="1" applyFont="1" applyFill="1">
      <alignment vertical="center"/>
    </xf>
    <xf numFmtId="9" fontId="0" fillId="0" borderId="0" xfId="0" applyNumberFormat="1" applyFill="1">
      <alignment vertical="center"/>
    </xf>
    <xf numFmtId="176" fontId="0" fillId="0" borderId="0" xfId="0" applyNumberFormat="1">
      <alignment vertical="center"/>
    </xf>
    <xf numFmtId="57" fontId="5" fillId="0" borderId="0" xfId="0" applyNumberFormat="1" applyFont="1">
      <alignment vertical="center"/>
    </xf>
    <xf numFmtId="58" fontId="3" fillId="0" borderId="0" xfId="0" applyNumberFormat="1" applyFont="1">
      <alignment vertical="center"/>
    </xf>
    <xf numFmtId="0" fontId="0" fillId="0" borderId="0" xfId="0" applyFill="1">
      <alignment vertical="center"/>
    </xf>
    <xf numFmtId="58" fontId="3" fillId="0" borderId="0" xfId="0" applyNumberFormat="1" applyFont="1" applyFill="1">
      <alignment vertical="center"/>
    </xf>
    <xf numFmtId="0" fontId="6" fillId="0" borderId="0" xfId="0" applyFont="1">
      <alignment vertical="center"/>
    </xf>
    <xf numFmtId="9" fontId="1" fillId="0" borderId="0" xfId="0" applyNumberFormat="1" applyFont="1">
      <alignment vertical="center"/>
    </xf>
    <xf numFmtId="9" fontId="1" fillId="0" borderId="0" xfId="0" applyNumberFormat="1" applyFont="1" applyFill="1">
      <alignment vertical="center"/>
    </xf>
    <xf numFmtId="8" fontId="0" fillId="0" borderId="0" xfId="0" applyNumberFormat="1">
      <alignment vertical="center"/>
    </xf>
    <xf numFmtId="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1">
    <open main="52" threadCnt="1"/>
    <sheetInfos>
      <sheetInfo cellCmpFml="31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tabSelected="1" topLeftCell="M46" workbookViewId="0">
      <selection activeCell="M46" sqref="M46:M47"/>
    </sheetView>
  </sheetViews>
  <sheetFormatPr defaultColWidth="9" defaultRowHeight="13.5"/>
  <cols>
    <col min="1" max="2" width="13.75"/>
    <col min="3" max="4" width="12.875" customWidth="1"/>
    <col min="5" max="5" width="13.75"/>
    <col min="7" max="7" width="12.5"/>
    <col min="9" max="10" width="8.875" style="1" customWidth="1"/>
    <col min="11" max="11" width="8.875" customWidth="1"/>
    <col min="12" max="12" width="10.375" customWidth="1"/>
    <col min="13" max="13" width="12.625"/>
    <col min="15" max="15" width="12.5" customWidth="1"/>
    <col min="20" max="20" width="9.375"/>
    <col min="24" max="24" width="9.375"/>
  </cols>
  <sheetData>
    <row r="1" spans="1:12">
      <c r="A1" s="2" t="s">
        <v>0</v>
      </c>
      <c r="B1" s="3" t="s">
        <v>1</v>
      </c>
      <c r="C1" s="4" t="s">
        <v>2</v>
      </c>
      <c r="D1" t="s">
        <v>3</v>
      </c>
      <c r="E1" t="s">
        <v>4</v>
      </c>
      <c r="G1" s="4" t="s">
        <v>5</v>
      </c>
      <c r="I1" s="19" t="s">
        <v>6</v>
      </c>
      <c r="J1" s="19" t="s">
        <v>7</v>
      </c>
      <c r="K1" s="4" t="s">
        <v>8</v>
      </c>
      <c r="L1" s="4" t="s">
        <v>9</v>
      </c>
    </row>
    <row r="2" spans="1:17">
      <c r="A2" s="5">
        <f>100*C2</f>
        <v>100</v>
      </c>
      <c r="B2" s="5">
        <f>E2-A2</f>
        <v>100</v>
      </c>
      <c r="C2" s="6">
        <v>1</v>
      </c>
      <c r="D2" s="6">
        <v>1</v>
      </c>
      <c r="E2" s="5">
        <v>200</v>
      </c>
      <c r="F2" s="5"/>
      <c r="G2" s="15"/>
      <c r="H2" s="5"/>
      <c r="I2" s="20">
        <v>1</v>
      </c>
      <c r="J2" s="20">
        <f t="shared" ref="J2:J21" si="0">K2*2-I2</f>
        <v>1</v>
      </c>
      <c r="K2" s="6">
        <f t="shared" ref="K2:K21" si="1">D2</f>
        <v>1</v>
      </c>
      <c r="N2" s="4" t="s">
        <v>10</v>
      </c>
      <c r="O2">
        <v>111</v>
      </c>
      <c r="P2">
        <f>INT(O2*0.9)</f>
        <v>99</v>
      </c>
      <c r="Q2" s="4" t="s">
        <v>11</v>
      </c>
    </row>
    <row r="3" spans="1:12">
      <c r="A3">
        <f>100*C3</f>
        <v>80</v>
      </c>
      <c r="B3" s="7">
        <f t="shared" ref="B3:B17" si="2">E3-A3</f>
        <v>111</v>
      </c>
      <c r="C3" s="8">
        <v>0.8</v>
      </c>
      <c r="D3" s="9">
        <f>B3/A3</f>
        <v>1.3875</v>
      </c>
      <c r="E3">
        <f>E2-9</f>
        <v>191</v>
      </c>
      <c r="G3" s="16">
        <v>45761</v>
      </c>
      <c r="I3" s="20">
        <f>I2*1.23</f>
        <v>1.23</v>
      </c>
      <c r="J3" s="20">
        <f t="shared" si="0"/>
        <v>1.545</v>
      </c>
      <c r="K3" s="9">
        <f t="shared" si="1"/>
        <v>1.3875</v>
      </c>
      <c r="L3" s="14">
        <f>(J3-I3)*100</f>
        <v>31.5</v>
      </c>
    </row>
    <row r="4" spans="1:15">
      <c r="A4" s="10">
        <f>A3*C4</f>
        <v>64</v>
      </c>
      <c r="B4" s="11">
        <f t="shared" si="2"/>
        <v>118</v>
      </c>
      <c r="C4" s="12">
        <v>0.8</v>
      </c>
      <c r="D4" s="13">
        <f t="shared" ref="D4:D21" si="3">B4/A4</f>
        <v>1.84375</v>
      </c>
      <c r="E4" s="17">
        <f t="shared" ref="E4:E12" si="4">E3-9</f>
        <v>182</v>
      </c>
      <c r="F4" s="17"/>
      <c r="G4" s="18">
        <v>45768</v>
      </c>
      <c r="H4" s="17"/>
      <c r="I4" s="21">
        <f t="shared" ref="I4:I12" si="5">I3*1.23</f>
        <v>1.5129</v>
      </c>
      <c r="J4" s="21">
        <f t="shared" si="0"/>
        <v>2.1746</v>
      </c>
      <c r="K4" s="13">
        <f t="shared" si="1"/>
        <v>1.84375</v>
      </c>
      <c r="L4" s="10">
        <f t="shared" ref="L4:L35" si="6">(J4-I4)*100</f>
        <v>66.17</v>
      </c>
      <c r="N4" s="4" t="s">
        <v>12</v>
      </c>
      <c r="O4" s="4" t="s">
        <v>13</v>
      </c>
    </row>
    <row r="5" spans="1:15">
      <c r="A5" s="14">
        <f t="shared" ref="A5:A21" si="7">A4*C5</f>
        <v>51.2</v>
      </c>
      <c r="B5" s="7">
        <f t="shared" si="2"/>
        <v>121.8</v>
      </c>
      <c r="C5" s="8">
        <v>0.8</v>
      </c>
      <c r="D5" s="9">
        <f t="shared" si="3"/>
        <v>2.37890625</v>
      </c>
      <c r="E5">
        <f t="shared" si="4"/>
        <v>173</v>
      </c>
      <c r="G5" s="16">
        <v>45775</v>
      </c>
      <c r="I5" s="20">
        <f t="shared" si="5"/>
        <v>1.860867</v>
      </c>
      <c r="J5" s="20">
        <f t="shared" si="0"/>
        <v>2.8969455</v>
      </c>
      <c r="K5" s="9">
        <f t="shared" si="1"/>
        <v>2.37890625</v>
      </c>
      <c r="L5" s="14">
        <f t="shared" si="6"/>
        <v>103.60785</v>
      </c>
      <c r="N5" s="4" t="s">
        <v>14</v>
      </c>
      <c r="O5" s="4" t="s">
        <v>15</v>
      </c>
    </row>
    <row r="6" spans="1:12">
      <c r="A6" s="14">
        <f t="shared" si="7"/>
        <v>40.96</v>
      </c>
      <c r="B6" s="7">
        <f t="shared" si="2"/>
        <v>123.04</v>
      </c>
      <c r="C6" s="8">
        <v>0.8</v>
      </c>
      <c r="D6" s="9">
        <f t="shared" si="3"/>
        <v>3.00390625</v>
      </c>
      <c r="E6">
        <f t="shared" si="4"/>
        <v>164</v>
      </c>
      <c r="G6" s="18">
        <v>45782</v>
      </c>
      <c r="I6" s="20">
        <f t="shared" si="5"/>
        <v>2.28886641</v>
      </c>
      <c r="J6" s="20">
        <f t="shared" si="0"/>
        <v>3.71894609</v>
      </c>
      <c r="K6" s="9">
        <f t="shared" si="1"/>
        <v>3.00390625</v>
      </c>
      <c r="L6" s="14">
        <f t="shared" si="6"/>
        <v>143.007968</v>
      </c>
    </row>
    <row r="7" spans="1:12">
      <c r="A7" s="14">
        <f t="shared" si="7"/>
        <v>32.768</v>
      </c>
      <c r="B7" s="7">
        <f t="shared" si="2"/>
        <v>122.232</v>
      </c>
      <c r="C7" s="8">
        <v>0.8</v>
      </c>
      <c r="D7" s="9">
        <f t="shared" si="3"/>
        <v>3.730224609375</v>
      </c>
      <c r="E7">
        <f t="shared" si="4"/>
        <v>155</v>
      </c>
      <c r="G7" s="16">
        <v>45789</v>
      </c>
      <c r="I7" s="20">
        <f t="shared" si="5"/>
        <v>2.8153056843</v>
      </c>
      <c r="J7" s="20">
        <f t="shared" si="0"/>
        <v>4.64514353445</v>
      </c>
      <c r="K7" s="9">
        <f t="shared" si="1"/>
        <v>3.730224609375</v>
      </c>
      <c r="L7" s="14">
        <f t="shared" si="6"/>
        <v>182.983785015</v>
      </c>
    </row>
    <row r="8" spans="1:12">
      <c r="A8" s="14">
        <f t="shared" si="7"/>
        <v>26.2144</v>
      </c>
      <c r="B8" s="7">
        <f t="shared" si="2"/>
        <v>119.7856</v>
      </c>
      <c r="C8" s="8">
        <v>0.8</v>
      </c>
      <c r="D8" s="9">
        <f t="shared" si="3"/>
        <v>4.5694580078125</v>
      </c>
      <c r="E8">
        <f t="shared" si="4"/>
        <v>146</v>
      </c>
      <c r="G8" s="18">
        <v>45796</v>
      </c>
      <c r="I8" s="20">
        <f t="shared" si="5"/>
        <v>3.462825991689</v>
      </c>
      <c r="J8" s="20">
        <f t="shared" si="0"/>
        <v>5.676090023936</v>
      </c>
      <c r="K8" s="9">
        <f t="shared" si="1"/>
        <v>4.5694580078125</v>
      </c>
      <c r="L8" s="14">
        <f t="shared" si="6"/>
        <v>221.3264032247</v>
      </c>
    </row>
    <row r="9" spans="1:12">
      <c r="A9" s="14">
        <f t="shared" si="7"/>
        <v>20.97152</v>
      </c>
      <c r="B9" s="7">
        <f t="shared" si="2"/>
        <v>116.02848</v>
      </c>
      <c r="C9" s="8">
        <v>0.8</v>
      </c>
      <c r="D9" s="9">
        <f t="shared" si="3"/>
        <v>5.53266906738281</v>
      </c>
      <c r="E9">
        <f t="shared" si="4"/>
        <v>137</v>
      </c>
      <c r="G9" s="16">
        <v>45803</v>
      </c>
      <c r="I9" s="20">
        <f t="shared" si="5"/>
        <v>4.25927596977747</v>
      </c>
      <c r="J9" s="20">
        <f t="shared" si="0"/>
        <v>6.80606216498815</v>
      </c>
      <c r="K9" s="9">
        <f t="shared" si="1"/>
        <v>5.53266906738281</v>
      </c>
      <c r="L9" s="14">
        <f t="shared" si="6"/>
        <v>254.678619521068</v>
      </c>
    </row>
    <row r="10" spans="1:15">
      <c r="A10" s="14">
        <f t="shared" si="7"/>
        <v>16.777216</v>
      </c>
      <c r="B10" s="7">
        <f t="shared" si="2"/>
        <v>111.222784</v>
      </c>
      <c r="C10" s="8">
        <v>0.8</v>
      </c>
      <c r="D10" s="9">
        <f t="shared" si="3"/>
        <v>6.62939453125</v>
      </c>
      <c r="E10">
        <f t="shared" si="4"/>
        <v>128</v>
      </c>
      <c r="G10" s="18">
        <v>45810</v>
      </c>
      <c r="I10" s="20">
        <f t="shared" si="5"/>
        <v>5.23890944282629</v>
      </c>
      <c r="J10" s="20">
        <f t="shared" si="0"/>
        <v>8.01987961967371</v>
      </c>
      <c r="K10" s="9">
        <f t="shared" si="1"/>
        <v>6.62939453125</v>
      </c>
      <c r="L10" s="14">
        <f t="shared" si="6"/>
        <v>278.097017684742</v>
      </c>
      <c r="O10" t="s">
        <v>16</v>
      </c>
    </row>
    <row r="11" spans="1:15">
      <c r="A11" s="14">
        <f t="shared" si="7"/>
        <v>13.4217728</v>
      </c>
      <c r="B11" s="7">
        <f t="shared" si="2"/>
        <v>105.5782272</v>
      </c>
      <c r="C11" s="8">
        <v>0.8</v>
      </c>
      <c r="D11" s="9">
        <f t="shared" si="3"/>
        <v>7.86619091033935</v>
      </c>
      <c r="E11">
        <f t="shared" si="4"/>
        <v>119</v>
      </c>
      <c r="G11" s="16">
        <v>45817</v>
      </c>
      <c r="I11" s="20">
        <f t="shared" si="5"/>
        <v>6.44385861467633</v>
      </c>
      <c r="J11" s="20">
        <f t="shared" si="0"/>
        <v>9.28852320600237</v>
      </c>
      <c r="K11" s="9">
        <f t="shared" si="1"/>
        <v>7.86619091033935</v>
      </c>
      <c r="L11" s="14">
        <f t="shared" si="6"/>
        <v>284.466459132604</v>
      </c>
      <c r="O11" t="s">
        <v>17</v>
      </c>
    </row>
    <row r="12" spans="1:15">
      <c r="A12" s="14">
        <f t="shared" si="7"/>
        <v>10.73741824</v>
      </c>
      <c r="B12" s="7">
        <f t="shared" si="2"/>
        <v>99.26258176</v>
      </c>
      <c r="C12" s="8">
        <v>0.8</v>
      </c>
      <c r="D12" s="9">
        <f t="shared" si="3"/>
        <v>9.24454832077026</v>
      </c>
      <c r="E12">
        <f t="shared" si="4"/>
        <v>110</v>
      </c>
      <c r="G12" s="18">
        <v>45824</v>
      </c>
      <c r="I12" s="20">
        <f t="shared" si="5"/>
        <v>7.92594609605189</v>
      </c>
      <c r="J12" s="20">
        <f t="shared" si="0"/>
        <v>10.5631505454886</v>
      </c>
      <c r="K12" s="9">
        <f t="shared" si="1"/>
        <v>9.24454832077026</v>
      </c>
      <c r="L12" s="14">
        <f t="shared" si="6"/>
        <v>263.720444943674</v>
      </c>
      <c r="O12" t="s">
        <v>18</v>
      </c>
    </row>
    <row r="13" spans="1:12">
      <c r="A13" s="14"/>
      <c r="B13" s="7"/>
      <c r="C13" s="8"/>
      <c r="D13" s="9"/>
      <c r="E13"/>
      <c r="G13" s="15"/>
      <c r="I13" s="20"/>
      <c r="J13" s="20"/>
      <c r="K13" s="9"/>
      <c r="L13" s="14"/>
    </row>
    <row r="14" spans="1:15">
      <c r="A14" s="14"/>
      <c r="B14" s="7"/>
      <c r="C14" s="8"/>
      <c r="D14" s="9"/>
      <c r="E14"/>
      <c r="G14" s="15"/>
      <c r="I14" s="20"/>
      <c r="J14" s="20"/>
      <c r="K14" s="9"/>
      <c r="L14" s="14"/>
      <c r="O14" t="s">
        <v>19</v>
      </c>
    </row>
    <row r="15" spans="1:15">
      <c r="A15" s="14"/>
      <c r="B15" s="7"/>
      <c r="C15" s="8"/>
      <c r="D15" s="9"/>
      <c r="E15"/>
      <c r="G15" s="15"/>
      <c r="I15" s="20"/>
      <c r="J15" s="20"/>
      <c r="K15" s="9"/>
      <c r="L15" s="14"/>
      <c r="O15" t="s">
        <v>20</v>
      </c>
    </row>
    <row r="16" spans="1:15">
      <c r="A16" s="14"/>
      <c r="B16" s="7"/>
      <c r="C16" s="8"/>
      <c r="D16" s="9"/>
      <c r="E16"/>
      <c r="G16" s="15"/>
      <c r="I16" s="20"/>
      <c r="J16" s="20"/>
      <c r="K16" s="9"/>
      <c r="L16" s="14"/>
      <c r="O16" t="s">
        <v>21</v>
      </c>
    </row>
    <row r="17" spans="1:12">
      <c r="A17" s="14"/>
      <c r="B17" s="7"/>
      <c r="C17" s="8"/>
      <c r="D17" s="9"/>
      <c r="E17"/>
      <c r="G17" s="15"/>
      <c r="I17" s="20"/>
      <c r="J17" s="20"/>
      <c r="K17" s="9"/>
      <c r="L17" s="14"/>
    </row>
    <row r="18" spans="1:15">
      <c r="A18" s="14"/>
      <c r="B18" s="14"/>
      <c r="C18" s="8"/>
      <c r="D18" s="9"/>
      <c r="G18" s="15"/>
      <c r="I18" s="20"/>
      <c r="J18" s="20"/>
      <c r="K18" s="9"/>
      <c r="L18" s="14"/>
      <c r="O18" s="4" t="s">
        <v>22</v>
      </c>
    </row>
    <row r="19" spans="1:15">
      <c r="A19" s="14"/>
      <c r="B19" s="14"/>
      <c r="C19" s="8"/>
      <c r="D19" s="9"/>
      <c r="G19" s="15"/>
      <c r="I19" s="20"/>
      <c r="J19" s="20"/>
      <c r="K19" s="9"/>
      <c r="L19" s="14"/>
      <c r="O19" s="4" t="s">
        <v>23</v>
      </c>
    </row>
    <row r="20" spans="1:12">
      <c r="A20" s="14"/>
      <c r="B20" s="14"/>
      <c r="C20" s="8"/>
      <c r="D20" s="9"/>
      <c r="G20" s="15"/>
      <c r="I20" s="20"/>
      <c r="J20" s="20"/>
      <c r="K20" s="9"/>
      <c r="L20" s="14"/>
    </row>
    <row r="21" spans="1:15">
      <c r="A21" s="14"/>
      <c r="B21" s="14"/>
      <c r="C21" s="8"/>
      <c r="D21" s="9"/>
      <c r="G21" s="15"/>
      <c r="I21" s="20"/>
      <c r="J21" s="20"/>
      <c r="K21" s="9"/>
      <c r="L21" s="14"/>
      <c r="M21" s="4"/>
      <c r="O21" t="s">
        <v>24</v>
      </c>
    </row>
    <row r="22" spans="1:15">
      <c r="A22" s="14"/>
      <c r="B22" s="14"/>
      <c r="C22" s="8"/>
      <c r="D22" s="9"/>
      <c r="G22" s="15"/>
      <c r="I22" s="20"/>
      <c r="J22" s="20"/>
      <c r="K22" s="9"/>
      <c r="L22" s="14"/>
      <c r="O22" s="4" t="s">
        <v>25</v>
      </c>
    </row>
    <row r="23" spans="1:12">
      <c r="A23" s="14"/>
      <c r="B23" s="14"/>
      <c r="C23" s="8"/>
      <c r="D23" s="9"/>
      <c r="G23" s="15"/>
      <c r="I23" s="20"/>
      <c r="J23" s="20"/>
      <c r="K23" s="9"/>
      <c r="L23" s="14"/>
    </row>
    <row r="24" spans="1:15">
      <c r="A24" s="14"/>
      <c r="B24" s="14"/>
      <c r="C24" s="8"/>
      <c r="D24" s="9"/>
      <c r="G24" s="15"/>
      <c r="I24" s="20"/>
      <c r="J24" s="20"/>
      <c r="K24" s="9"/>
      <c r="L24" s="14"/>
      <c r="O24" t="s">
        <v>26</v>
      </c>
    </row>
    <row r="25" spans="1:15">
      <c r="A25" s="14"/>
      <c r="B25" s="14"/>
      <c r="C25" s="8"/>
      <c r="D25" s="9"/>
      <c r="G25" s="15"/>
      <c r="I25" s="20"/>
      <c r="J25" s="20"/>
      <c r="K25" s="9"/>
      <c r="L25" s="14"/>
      <c r="O25" t="s">
        <v>27</v>
      </c>
    </row>
    <row r="26" spans="1:12">
      <c r="A26" s="14"/>
      <c r="B26" s="14"/>
      <c r="C26" s="8"/>
      <c r="D26" s="9"/>
      <c r="G26" s="15"/>
      <c r="I26" s="20"/>
      <c r="J26" s="20"/>
      <c r="K26" s="9"/>
      <c r="L26" s="14"/>
    </row>
    <row r="27" spans="1:15">
      <c r="A27" s="14"/>
      <c r="B27" s="14"/>
      <c r="C27" s="8"/>
      <c r="D27" s="9"/>
      <c r="G27" s="15"/>
      <c r="I27" s="20"/>
      <c r="J27" s="20"/>
      <c r="K27" s="9"/>
      <c r="L27" s="14"/>
      <c r="O27" t="s">
        <v>28</v>
      </c>
    </row>
    <row r="28" spans="1:15">
      <c r="A28" s="14"/>
      <c r="B28" s="14"/>
      <c r="C28" s="8"/>
      <c r="D28" s="9"/>
      <c r="G28" s="15"/>
      <c r="I28" s="20"/>
      <c r="J28" s="20"/>
      <c r="K28" s="9"/>
      <c r="L28" s="14"/>
      <c r="O28" t="s">
        <v>29</v>
      </c>
    </row>
    <row r="29" spans="1:12">
      <c r="A29" s="14"/>
      <c r="B29" s="14"/>
      <c r="C29" s="8"/>
      <c r="D29" s="9"/>
      <c r="G29" s="15"/>
      <c r="I29" s="20"/>
      <c r="J29" s="20"/>
      <c r="K29" s="9"/>
      <c r="L29" s="14"/>
    </row>
    <row r="30" spans="1:12">
      <c r="A30" s="14"/>
      <c r="B30" s="14"/>
      <c r="C30" s="8"/>
      <c r="D30" s="9"/>
      <c r="G30" s="15"/>
      <c r="I30" s="20"/>
      <c r="J30" s="20"/>
      <c r="K30" s="9"/>
      <c r="L30" s="14"/>
    </row>
    <row r="31" spans="1:12">
      <c r="A31" s="14"/>
      <c r="B31" s="14"/>
      <c r="C31" s="8"/>
      <c r="D31" s="9"/>
      <c r="G31" s="15"/>
      <c r="I31" s="20"/>
      <c r="J31" s="20"/>
      <c r="K31" s="9"/>
      <c r="L31" s="14"/>
    </row>
    <row r="32" spans="1:16">
      <c r="A32" s="14"/>
      <c r="B32" s="14"/>
      <c r="C32" s="8"/>
      <c r="D32" s="9"/>
      <c r="F32" s="4" t="s">
        <v>30</v>
      </c>
      <c r="G32"/>
      <c r="I32"/>
      <c r="J32"/>
      <c r="K32"/>
      <c r="L32" s="14"/>
      <c r="M32"/>
      <c r="P32" s="4" t="s">
        <v>31</v>
      </c>
    </row>
    <row r="33" spans="1:16">
      <c r="A33" s="14"/>
      <c r="B33" s="14"/>
      <c r="C33" s="8"/>
      <c r="D33" s="9"/>
      <c r="F33" s="4" t="s">
        <v>32</v>
      </c>
      <c r="G33"/>
      <c r="I33"/>
      <c r="J33"/>
      <c r="K33"/>
      <c r="L33" s="14"/>
      <c r="M33"/>
      <c r="P33" s="4" t="s">
        <v>33</v>
      </c>
    </row>
    <row r="34" spans="1:16">
      <c r="A34" s="14"/>
      <c r="B34" s="14"/>
      <c r="C34" s="8"/>
      <c r="D34" s="9"/>
      <c r="F34" s="4" t="s">
        <v>34</v>
      </c>
      <c r="G34"/>
      <c r="I34"/>
      <c r="J34"/>
      <c r="K34"/>
      <c r="L34" s="14"/>
      <c r="M34"/>
      <c r="P34" s="4" t="s">
        <v>35</v>
      </c>
    </row>
    <row r="35" spans="1:16">
      <c r="A35" s="14"/>
      <c r="B35" s="14"/>
      <c r="C35" s="8"/>
      <c r="D35" s="9"/>
      <c r="F35" s="4" t="s">
        <v>36</v>
      </c>
      <c r="G35"/>
      <c r="I35"/>
      <c r="J35"/>
      <c r="K35"/>
      <c r="L35" s="14"/>
      <c r="M35"/>
      <c r="P35" s="4" t="s">
        <v>36</v>
      </c>
    </row>
    <row r="36" spans="6:16">
      <c r="F36" s="4"/>
      <c r="I36"/>
      <c r="J36"/>
      <c r="P36" s="4"/>
    </row>
    <row r="37" spans="6:16">
      <c r="F37" s="4" t="s">
        <v>37</v>
      </c>
      <c r="I37"/>
      <c r="J37"/>
      <c r="P37" s="4" t="s">
        <v>37</v>
      </c>
    </row>
    <row r="38" spans="6:16">
      <c r="F38" s="4" t="s">
        <v>38</v>
      </c>
      <c r="I38"/>
      <c r="J38"/>
      <c r="P38" s="4" t="s">
        <v>38</v>
      </c>
    </row>
    <row r="39" spans="6:16">
      <c r="F39" s="4" t="s">
        <v>39</v>
      </c>
      <c r="I39"/>
      <c r="J39"/>
      <c r="P39" s="4" t="s">
        <v>39</v>
      </c>
    </row>
    <row r="40" spans="9:10">
      <c r="I40"/>
      <c r="J40"/>
    </row>
    <row r="41" spans="6:16">
      <c r="F41" s="4" t="s">
        <v>40</v>
      </c>
      <c r="I41"/>
      <c r="J41"/>
      <c r="P41" s="4" t="s">
        <v>41</v>
      </c>
    </row>
    <row r="42" spans="6:10">
      <c r="F42" s="4" t="s">
        <v>42</v>
      </c>
      <c r="I42"/>
      <c r="J42"/>
    </row>
    <row r="43" spans="6:16">
      <c r="F43" s="4"/>
      <c r="I43"/>
      <c r="J43"/>
      <c r="P43" s="4"/>
    </row>
    <row r="44" spans="9:21">
      <c r="I44"/>
      <c r="J44"/>
      <c r="K44" s="22"/>
      <c r="L44"/>
      <c r="M44"/>
      <c r="U44" s="22"/>
    </row>
    <row r="45" spans="6:24">
      <c r="F45" s="4" t="s">
        <v>43</v>
      </c>
      <c r="G45" t="s">
        <v>44</v>
      </c>
      <c r="H45" t="s">
        <v>1</v>
      </c>
      <c r="I45" t="s">
        <v>45</v>
      </c>
      <c r="J45"/>
      <c r="K45" s="4" t="s">
        <v>46</v>
      </c>
      <c r="L45" s="4" t="s">
        <v>47</v>
      </c>
      <c r="M45" s="4" t="s">
        <v>48</v>
      </c>
      <c r="P45" s="4"/>
      <c r="X45" s="23"/>
    </row>
    <row r="46" spans="7:24">
      <c r="G46">
        <v>110</v>
      </c>
      <c r="H46">
        <v>10000</v>
      </c>
      <c r="I46">
        <v>14</v>
      </c>
      <c r="J46">
        <f>G46*H46*I46</f>
        <v>15400000</v>
      </c>
      <c r="K46" s="22">
        <f>J46*0.0125/10000</f>
        <v>19.25</v>
      </c>
      <c r="L46" s="22">
        <f>K46*30</f>
        <v>577.5</v>
      </c>
      <c r="M46" s="22">
        <f>L46*12</f>
        <v>6930</v>
      </c>
      <c r="O46">
        <f>J46*50</f>
        <v>770000000</v>
      </c>
      <c r="U46" s="22"/>
      <c r="X46" s="23"/>
    </row>
    <row r="47" spans="7:21">
      <c r="G47">
        <v>90</v>
      </c>
      <c r="H47">
        <v>1000</v>
      </c>
      <c r="I47">
        <v>14</v>
      </c>
      <c r="J47">
        <f>G47*H47*I47</f>
        <v>1260000</v>
      </c>
      <c r="K47" s="22">
        <f>J47*0.0125/10000</f>
        <v>1.575</v>
      </c>
      <c r="L47" s="22">
        <f>K47*30</f>
        <v>47.25</v>
      </c>
      <c r="M47" s="22">
        <f>L47*12</f>
        <v>567</v>
      </c>
      <c r="O47">
        <f>J47*200</f>
        <v>252000000</v>
      </c>
      <c r="U47" s="22"/>
    </row>
    <row r="48" spans="9:10">
      <c r="I48"/>
      <c r="J48"/>
    </row>
    <row r="52" spans="9:14">
      <c r="I52" s="1">
        <f>J52-K52</f>
        <v>66679382</v>
      </c>
      <c r="J52" s="1">
        <v>623043689</v>
      </c>
      <c r="K52">
        <f>L52+M52+N52</f>
        <v>556364307</v>
      </c>
      <c r="L52">
        <v>361631592</v>
      </c>
      <c r="M52">
        <v>131032078</v>
      </c>
      <c r="N52">
        <v>63700637</v>
      </c>
    </row>
    <row r="53" spans="9:14">
      <c r="I53" s="1">
        <f t="shared" ref="I53:I64" si="8">J53-K53</f>
        <v>50506500</v>
      </c>
      <c r="J53" s="1">
        <v>631383859</v>
      </c>
      <c r="K53">
        <f t="shared" ref="K53:K64" si="9">L53+M53+N53</f>
        <v>580877359</v>
      </c>
      <c r="L53">
        <v>353742736</v>
      </c>
      <c r="M53">
        <v>133033682</v>
      </c>
      <c r="N53">
        <v>94100941</v>
      </c>
    </row>
    <row r="54" spans="9:14">
      <c r="I54" s="1">
        <f t="shared" si="8"/>
        <v>43644418</v>
      </c>
      <c r="J54" s="1">
        <v>683891099</v>
      </c>
      <c r="K54">
        <f t="shared" si="9"/>
        <v>640246681</v>
      </c>
      <c r="L54">
        <v>412009344</v>
      </c>
      <c r="M54">
        <v>150536560</v>
      </c>
      <c r="N54">
        <v>77700777</v>
      </c>
    </row>
    <row r="55" spans="9:14">
      <c r="I55" s="1">
        <f t="shared" si="8"/>
        <v>74228613</v>
      </c>
      <c r="J55" s="1">
        <v>770057724</v>
      </c>
      <c r="K55">
        <f t="shared" si="9"/>
        <v>695829111</v>
      </c>
      <c r="L55">
        <v>519498136</v>
      </c>
      <c r="M55">
        <v>119030402</v>
      </c>
      <c r="N55">
        <v>57300573</v>
      </c>
    </row>
    <row r="56" spans="9:14">
      <c r="I56" s="1">
        <f t="shared" si="8"/>
        <v>69663061</v>
      </c>
      <c r="J56" s="1">
        <v>776832723</v>
      </c>
      <c r="K56">
        <f t="shared" si="9"/>
        <v>707169662</v>
      </c>
      <c r="L56">
        <v>493142592</v>
      </c>
      <c r="M56">
        <v>138026310</v>
      </c>
      <c r="N56">
        <v>76000760</v>
      </c>
    </row>
    <row r="57" spans="9:14">
      <c r="I57" s="1">
        <f t="shared" si="8"/>
        <v>54932751</v>
      </c>
      <c r="J57" s="1">
        <v>739528998</v>
      </c>
      <c r="K57">
        <f t="shared" si="9"/>
        <v>684596247</v>
      </c>
      <c r="L57">
        <v>514475824</v>
      </c>
      <c r="M57">
        <v>102019742</v>
      </c>
      <c r="N57">
        <v>68100681</v>
      </c>
    </row>
    <row r="58" spans="9:14">
      <c r="I58" s="1">
        <f t="shared" si="8"/>
        <v>49619492</v>
      </c>
      <c r="J58" s="1">
        <v>792401474</v>
      </c>
      <c r="K58">
        <f t="shared" si="9"/>
        <v>742781982</v>
      </c>
      <c r="L58">
        <v>493842504</v>
      </c>
      <c r="M58">
        <v>164038629</v>
      </c>
      <c r="N58">
        <v>84900849</v>
      </c>
    </row>
    <row r="59" spans="9:14">
      <c r="I59" s="1">
        <f t="shared" si="8"/>
        <v>63493059</v>
      </c>
      <c r="J59" s="1">
        <v>769361289</v>
      </c>
      <c r="K59">
        <f t="shared" si="9"/>
        <v>705868230</v>
      </c>
      <c r="L59">
        <v>509731376</v>
      </c>
      <c r="M59">
        <v>125036143</v>
      </c>
      <c r="N59">
        <v>71100711</v>
      </c>
    </row>
    <row r="60" spans="9:14">
      <c r="I60" s="1">
        <f t="shared" si="8"/>
        <v>71005537</v>
      </c>
      <c r="J60" s="1">
        <v>784461833</v>
      </c>
      <c r="K60">
        <f t="shared" si="9"/>
        <v>713456296</v>
      </c>
      <c r="L60">
        <v>505020256</v>
      </c>
      <c r="M60">
        <v>137035326</v>
      </c>
      <c r="N60">
        <v>71400714</v>
      </c>
    </row>
    <row r="61" spans="9:14">
      <c r="I61" s="1">
        <f t="shared" si="8"/>
        <v>68049199</v>
      </c>
      <c r="J61" s="1">
        <v>776232756</v>
      </c>
      <c r="K61">
        <f t="shared" si="9"/>
        <v>708183557</v>
      </c>
      <c r="L61">
        <v>504153632</v>
      </c>
      <c r="M61">
        <v>129529180</v>
      </c>
      <c r="N61">
        <v>74500745</v>
      </c>
    </row>
    <row r="62" spans="9:14">
      <c r="I62" s="1">
        <f t="shared" si="8"/>
        <v>75527943</v>
      </c>
      <c r="J62" s="1">
        <v>822475503</v>
      </c>
      <c r="K62">
        <f t="shared" si="9"/>
        <v>746947560</v>
      </c>
      <c r="L62">
        <v>524320288</v>
      </c>
      <c r="M62">
        <v>126026306</v>
      </c>
      <c r="N62">
        <v>96600966</v>
      </c>
    </row>
    <row r="63" spans="9:14">
      <c r="I63" s="1">
        <f t="shared" si="8"/>
        <v>150502657</v>
      </c>
      <c r="J63" s="1">
        <v>890162079</v>
      </c>
      <c r="K63">
        <f t="shared" si="9"/>
        <v>739659422</v>
      </c>
      <c r="L63">
        <v>500820312</v>
      </c>
      <c r="M63">
        <v>149538217</v>
      </c>
      <c r="N63">
        <v>89300893</v>
      </c>
    </row>
    <row r="64" spans="9:14">
      <c r="I64" s="1">
        <f t="shared" si="8"/>
        <v>82385778</v>
      </c>
      <c r="J64" s="1">
        <v>784928729</v>
      </c>
      <c r="K64">
        <f t="shared" si="9"/>
        <v>702542951</v>
      </c>
      <c r="L64">
        <v>528509176</v>
      </c>
      <c r="M64">
        <v>122533260</v>
      </c>
      <c r="N64">
        <v>51500515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383493828196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WWO_wpscloud_20250409201303-77eb418d75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</dc:creator>
  <cp:lastModifiedBy>阳明</cp:lastModifiedBy>
  <dcterms:created xsi:type="dcterms:W3CDTF">2025-03-31T19:33:00Z</dcterms:created>
  <dcterms:modified xsi:type="dcterms:W3CDTF">2025-03-31T19:39:00Z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D9406654201747BA8EDAA63BB959D873_13</vt:lpwstr>
  </property>
  <property fmtid="{D5CDD505-2E9C-101B-9397-08002B2CF9AE}" pid="3" name="KSOProductBuildVer">
    <vt:lpwstr>2052-12.9.0.20767</vt:lpwstr>
  </property>
</Properties>
</file>